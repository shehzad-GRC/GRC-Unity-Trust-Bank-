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750" tabRatio="500"/>
  </bookViews>
  <sheets>
    <sheet name="Asset Register" sheetId="1" r:id="rId1"/>
    <sheet name="Methodology &amp; Legend" sheetId="2" r:id="rId2"/>
  </sheets>
  <definedNames>
    <definedName name="_xlnm._FilterDatabase" localSheetId="0" hidden="1">'Asset Register'!$A$4:$N$30</definedName>
    <definedName name="_xlnm.Print_Titles" localSheetId="0">'Asset Register'!$4:$4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<sst xmlns="http://schemas.openxmlformats.org/spreadsheetml/2006/main" count="267" uniqueCount="214">
  <si>
    <t>UnityTrust Bank — Asset Identification &amp; Threat Register</t>
  </si>
  <si>
    <t>ISO/IEC 27001:2022 ISMS Implementation | Shehzad Ahmad | Information Security &amp; Risk Management</t>
  </si>
  <si>
    <t>Asset ID</t>
  </si>
  <si>
    <t>Asset Name</t>
  </si>
  <si>
    <t>Category</t>
  </si>
  <si>
    <t>Description</t>
  </si>
  <si>
    <t>Owner</t>
  </si>
  <si>
    <t>C</t>
  </si>
  <si>
    <t>I</t>
  </si>
  <si>
    <t>A</t>
  </si>
  <si>
    <t>CIA Score</t>
  </si>
  <si>
    <t>Priority</t>
  </si>
  <si>
    <t>Est. Financial Impact (PKR)</t>
  </si>
  <si>
    <t>Threats Identified</t>
  </si>
  <si>
    <t>Threat Source</t>
  </si>
  <si>
    <t>Key Vulnerability</t>
  </si>
  <si>
    <t>AST-01</t>
  </si>
  <si>
    <t>Core Banking Platform</t>
  </si>
  <si>
    <t>Software / System</t>
  </si>
  <si>
    <t>Real-time core transaction processing engine</t>
  </si>
  <si>
    <t>Head of IT Operations</t>
  </si>
  <si>
    <t>Unauthorized access to transaction data; System outage disrupting operations; Malware or ransomware attack</t>
  </si>
  <si>
    <t>External / Internal</t>
  </si>
  <si>
    <t>Legacy modules with delayed patch cycles</t>
  </si>
  <si>
    <t>AST-02</t>
  </si>
  <si>
    <t>Mobile Banking App</t>
  </si>
  <si>
    <t>Software</t>
  </si>
  <si>
    <t>Customer-facing mobile banking application</t>
  </si>
  <si>
    <t>Digital Channels Manager</t>
  </si>
  <si>
    <t>Credential theft via phishing; Man-in-the-middle attacks on public networks; Malicious app clones</t>
  </si>
  <si>
    <t>External</t>
  </si>
  <si>
    <t>Insufficient certificate pinning</t>
  </si>
  <si>
    <t>AST-03</t>
  </si>
  <si>
    <t>Internet Banking Portal</t>
  </si>
  <si>
    <t>Web-based retail and SME banking portal</t>
  </si>
  <si>
    <t>Web application attacks (SQLi/XSS); Session hijacking; Credential stuffing</t>
  </si>
  <si>
    <t>Inconsistent patching of web application framework</t>
  </si>
  <si>
    <t>AST-04</t>
  </si>
  <si>
    <t>USSD Banking Service</t>
  </si>
  <si>
    <t>USSD channel for basic banking on feature phones</t>
  </si>
  <si>
    <t>SIM swap fraud; USSD session interception</t>
  </si>
  <si>
    <t>No end-to-end encryption on USSD channel</t>
  </si>
  <si>
    <t>AST-05</t>
  </si>
  <si>
    <t>Contact Center / CRM System</t>
  </si>
  <si>
    <t>Customer service platform and case management</t>
  </si>
  <si>
    <t>Customer Service Manager</t>
  </si>
  <si>
    <t>Social engineering of agents; Unauthorized customer data access by staff</t>
  </si>
  <si>
    <t>Internal / External</t>
  </si>
  <si>
    <t>Excessive agent access privileges</t>
  </si>
  <si>
    <t>AST-06</t>
  </si>
  <si>
    <t>ATM Switch</t>
  </si>
  <si>
    <t>Hardware / System</t>
  </si>
  <si>
    <t>Switching infrastructure for ATM network</t>
  </si>
  <si>
    <t>Payments Operations Manager</t>
  </si>
  <si>
    <t>Card skimming; Network intrusion; ATM jackpotting malware</t>
  </si>
  <si>
    <t>Outdated switch software version</t>
  </si>
  <si>
    <t>AST-07</t>
  </si>
  <si>
    <t>POS / Merchant Acquiring</t>
  </si>
  <si>
    <t>System</t>
  </si>
  <si>
    <t>Point-of-sale and merchant acquiring infrastructure</t>
  </si>
  <si>
    <t>POS malware; Merchant-side fraud</t>
  </si>
  <si>
    <t>Weak merchant terminal security standards</t>
  </si>
  <si>
    <t>AST-08</t>
  </si>
  <si>
    <t>RTGS / ACH Payment Gateway</t>
  </si>
  <si>
    <t>Interbank real-time and batch settlement gateway</t>
  </si>
  <si>
    <t>Payment fraud or manipulation; Denial-of-service attack</t>
  </si>
  <si>
    <t>Limited transaction anomaly detection</t>
  </si>
  <si>
    <t>AST-09</t>
  </si>
  <si>
    <t>SIEM Platform</t>
  </si>
  <si>
    <t>Centralized security monitoring and log correlation</t>
  </si>
  <si>
    <t>SOC Manager</t>
  </si>
  <si>
    <t>Log tampering; Missed alerts due to misconfiguration</t>
  </si>
  <si>
    <t>Internal</t>
  </si>
  <si>
    <t>Not all systems onboarded for full visibility</t>
  </si>
  <si>
    <t>AST-10</t>
  </si>
  <si>
    <t>Transaction Monitoring (AML/Fraud)</t>
  </si>
  <si>
    <t>Real-time AML and fraud detection engine</t>
  </si>
  <si>
    <t>Compliance / Fraud Manager</t>
  </si>
  <si>
    <t>Evasion via sophisticated fraud patterns; Detection rule tampering</t>
  </si>
  <si>
    <t>Rules engine not regularly updated</t>
  </si>
  <si>
    <t>AST-11</t>
  </si>
  <si>
    <t>DLP System</t>
  </si>
  <si>
    <t>Data loss prevention across email, endpoint and network</t>
  </si>
  <si>
    <t>Information Security Manager</t>
  </si>
  <si>
    <t>Data exfiltration bypassing DLP rules; Insider data leakage</t>
  </si>
  <si>
    <t>Policies not tuned for all sensitive data types</t>
  </si>
  <si>
    <t>AST-12</t>
  </si>
  <si>
    <t>KYC Repository</t>
  </si>
  <si>
    <t>Data</t>
  </si>
  <si>
    <t>Customer identity verification and KYC records store</t>
  </si>
  <si>
    <t>Compliance Manager</t>
  </si>
  <si>
    <t>Unauthorized access to customer PII; Data breach; Identity theft</t>
  </si>
  <si>
    <t>No formal data classification or labelling</t>
  </si>
  <si>
    <t>AST-13</t>
  </si>
  <si>
    <t>Data Warehouse</t>
  </si>
  <si>
    <t>Centralized repository for enterprise data</t>
  </si>
  <si>
    <t>BI / Analytics Manager</t>
  </si>
  <si>
    <t>Unauthorized data access; Data corruption</t>
  </si>
  <si>
    <t>Broad access rights not periodically reviewed</t>
  </si>
  <si>
    <t>AST-14</t>
  </si>
  <si>
    <t>BI / Analytics Platform</t>
  </si>
  <si>
    <t>Business intelligence and reporting platform</t>
  </si>
  <si>
    <t>Data leakage through exported reports; Unauthorized dashboard access</t>
  </si>
  <si>
    <t>Cloud-hosted workload without formal cloud security policy</t>
  </si>
  <si>
    <t>AST-15</t>
  </si>
  <si>
    <t>Credit Decision Engine (ML Models)</t>
  </si>
  <si>
    <t>ML-based credit scoring for SME lending</t>
  </si>
  <si>
    <t>Credit Risk Manager</t>
  </si>
  <si>
    <t>Model manipulation or bias exploitation; Data poisoning; Unauthorized model access</t>
  </si>
  <si>
    <t>No formal model governance or testing process</t>
  </si>
  <si>
    <t>AST-16</t>
  </si>
  <si>
    <t>Open Banking API Gateway</t>
  </si>
  <si>
    <t>API layer supporting fintech partner integrations</t>
  </si>
  <si>
    <t>IT Architecture Manager</t>
  </si>
  <si>
    <t>API abuse or exploitation; Unauthorized third-party access; Malicious data injection</t>
  </si>
  <si>
    <t>No security requirements embedded in partner contracts</t>
  </si>
  <si>
    <t>AST-17</t>
  </si>
  <si>
    <t>DR Site &amp; Backup Infrastructure</t>
  </si>
  <si>
    <t>Facility / System</t>
  </si>
  <si>
    <t>Disaster recovery site with data replication</t>
  </si>
  <si>
    <t>IT Infrastructure Manager</t>
  </si>
  <si>
    <t>Failed failover during a disaster event; Backup data compromise</t>
  </si>
  <si>
    <t>Failover not tested at planned frequency</t>
  </si>
  <si>
    <t>AST-18</t>
  </si>
  <si>
    <t>PKI / Key Management System</t>
  </si>
  <si>
    <t>Cryptographic key management and certificate infrastructure</t>
  </si>
  <si>
    <t>Cryptographic key compromise; Unauthorized key access; Certificate expiry causing outage</t>
  </si>
  <si>
    <t>No formal, documented cryptographic policy</t>
  </si>
  <si>
    <t>AST-19</t>
  </si>
  <si>
    <t>Identity &amp; Access Management (IAM)</t>
  </si>
  <si>
    <t>Centralized identity and access management platform</t>
  </si>
  <si>
    <t>Privilege escalation; Orphaned user accounts</t>
  </si>
  <si>
    <t>Not extended to all SaaS and third-party tools</t>
  </si>
  <si>
    <t>AST-20</t>
  </si>
  <si>
    <t>Privileged Access Management (PAM)</t>
  </si>
  <si>
    <t>Management of privileged administrator accounts</t>
  </si>
  <si>
    <t>Privileged credential theft; Misuse of administrative access</t>
  </si>
  <si>
    <t>Periodic review of privileged accounts not formalized</t>
  </si>
  <si>
    <t>AST-21</t>
  </si>
  <si>
    <t>Employee Endpoints (Laptops/Desktops)</t>
  </si>
  <si>
    <t>Hardware</t>
  </si>
  <si>
    <t>Staff computing devices across the bank</t>
  </si>
  <si>
    <t>IT Support Manager</t>
  </si>
  <si>
    <t>Malware infection; Device theft or loss; Unpatched vulnerabilities</t>
  </si>
  <si>
    <t>No formal endpoint hardening baseline</t>
  </si>
  <si>
    <t>AST-22</t>
  </si>
  <si>
    <t>Network Infrastructure</t>
  </si>
  <si>
    <t>Firewalls, switches, routers and core network</t>
  </si>
  <si>
    <t>Network Manager</t>
  </si>
  <si>
    <t>Network intrusion; Distributed denial-of-service attack; Misconfiguration</t>
  </si>
  <si>
    <t>Firewall rule review not performed on a set schedule</t>
  </si>
  <si>
    <t>AST-23</t>
  </si>
  <si>
    <t>Data Center Facility</t>
  </si>
  <si>
    <t>Facility</t>
  </si>
  <si>
    <t>Primary data center hosting core systems</t>
  </si>
  <si>
    <t>Unauthorized physical access; Fire or environmental damage; Power failure</t>
  </si>
  <si>
    <t>Branch offices lack a consistent physical security standard</t>
  </si>
  <si>
    <t>AST-24</t>
  </si>
  <si>
    <t>IT &amp; Security Staff (Privileged Users)</t>
  </si>
  <si>
    <t>People</t>
  </si>
  <si>
    <t>Administrators and security personnel with elevated access</t>
  </si>
  <si>
    <t>CISO / Head of IT</t>
  </si>
  <si>
    <t>Insider threat; Social engineering and targeted phishing</t>
  </si>
  <si>
    <t>No annual security awareness refresher training</t>
  </si>
  <si>
    <t>AST-25</t>
  </si>
  <si>
    <t>Customer PII &amp; Financial Records</t>
  </si>
  <si>
    <t>Customer personal and financial data across all systems</t>
  </si>
  <si>
    <t>Data Protection Officer</t>
  </si>
  <si>
    <t>Data breach; Regulatory non-compliance exposure; Unauthorized disclosure</t>
  </si>
  <si>
    <t>No formal privacy and data protection policy</t>
  </si>
  <si>
    <t>AST-26</t>
  </si>
  <si>
    <t>Third-Party Fintech Partners / Vendors</t>
  </si>
  <si>
    <t>Service</t>
  </si>
  <si>
    <t>External vendors and fintech partners with system access</t>
  </si>
  <si>
    <t>Vendor Management</t>
  </si>
  <si>
    <t>Third-party data breach; Supply chain compromise; Non-compliance with security SLAs</t>
  </si>
  <si>
    <t>No formal supplier security risk assessment process</t>
  </si>
  <si>
    <t>Methodology &amp; Rating Legend</t>
  </si>
  <si>
    <t>UnityTrust Bank | Asset Identification &amp; Threat Register</t>
  </si>
  <si>
    <t>How Asset Value is Determined — Two Measures Used</t>
  </si>
  <si>
    <t>A qualitative rating (1-5) per Confidentiality, Integrity and Availability, average into one score. This is the ISO/IEC 27001 standard method and is used to calculate Priority for the risk process.</t>
  </si>
  <si>
    <t>Financial Impact (PKR)</t>
  </si>
  <si>
    <t>An estimated Rupee value representing the potential financial loss to UnityTrust Bank if that asset is compromised (for exp: downtime cost, fraud exposure, regulatory fine, replacement cost). Used for board-level and financial reporting context.</t>
  </si>
  <si>
    <t>CIA Rating Scale (1-5)</t>
  </si>
  <si>
    <t>Score</t>
  </si>
  <si>
    <t>1</t>
  </si>
  <si>
    <t>Negligible impact if compromised</t>
  </si>
  <si>
    <t>2</t>
  </si>
  <si>
    <t>Minor impact — limited, easily contained</t>
  </si>
  <si>
    <t>3</t>
  </si>
  <si>
    <t>Moderate impact — operational or reputational disruption</t>
  </si>
  <si>
    <t>4</t>
  </si>
  <si>
    <t>Major impact — significant financial, regulatory or customer harm</t>
  </si>
  <si>
    <t>5</t>
  </si>
  <si>
    <t>Severe impact — critical to bank operations, regulatory survival, or customer trust</t>
  </si>
  <si>
    <t>CIA Score Formula</t>
  </si>
  <si>
    <t>AVERAGE(C,I,A)</t>
  </si>
  <si>
    <t>Example: Core Banking Platform rated C=5, I=5, A=5 -&gt; CIA Score = 5.0 -&gt; Priority = Critical.</t>
  </si>
  <si>
    <t>Priority Thresholds (based on CIA Score)</t>
  </si>
  <si>
    <t>Threshold</t>
  </si>
  <si>
    <t>Critical</t>
  </si>
  <si>
    <t>CIA Score &gt;= 4.3</t>
  </si>
  <si>
    <t>High</t>
  </si>
  <si>
    <t>CIA Score &gt;= 3.5 and &lt; 4.3</t>
  </si>
  <si>
    <t>Medium</t>
  </si>
  <si>
    <t>CIA Score &gt;= 2.5 and &lt; 3.5</t>
  </si>
  <si>
    <t>Low</t>
  </si>
  <si>
    <t>CIA Score &lt; 2.5</t>
  </si>
  <si>
    <t>Notes</t>
  </si>
  <si>
    <t>•</t>
  </si>
  <si>
    <t>Threats were identified based on UnityTrust Bank's actual IT environment, business objectives, and industry-typical threat patterns for digital-first commercial banks.</t>
  </si>
  <si>
    <t>Threat Source indicates whether the threat commonly originates externally, internally, or both.</t>
  </si>
  <si>
    <t>Financial Impact (PKR) figures are estimates for this case study and are used consistently for relative comparison across assets, not as audited valuations.</t>
  </si>
  <si>
    <t>This register feeds directly into the Risk Treatment Plan, where each Critical/High priority asset is assessed for risk and assigned a mitigation control.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</si>
</sst>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  <numFmt numFmtId="177" formatCode="&quot;PKR &quot;#,##0"/>
  </numFmts>
  <fonts count="32">
    <font>
      <sz val="11"/>
      <color theme="1"/>
      <name val="Calibri"/>
      <charset val="1"/>
    </font>
    <font>
      <b/>
      <sz val="16"/>
      <color rgb="FF000000"/>
      <name val="Calibri"/>
      <charset val="1"/>
    </font>
    <font>
      <i/>
      <sz val="10"/>
      <color rgb="FF595959"/>
      <name val="Calibri"/>
      <charset val="1"/>
    </font>
    <font>
      <b/>
      <sz val="13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1"/>
      <color theme="1"/>
      <name val="Calibri"/>
      <charset val="1"/>
    </font>
    <font>
      <b/>
      <sz val="20"/>
      <color rgb="FF000000"/>
      <name val="Calibri"/>
      <charset val="1"/>
    </font>
    <font>
      <b/>
      <i/>
      <sz val="11"/>
      <color rgb="FF595959"/>
      <name val="Calibri"/>
      <charset val="1"/>
    </font>
    <font>
      <i/>
      <sz val="11"/>
      <color rgb="FF595959"/>
      <name val="Calibri"/>
      <charset val="1"/>
    </font>
    <font>
      <b/>
      <sz val="10"/>
      <color rgb="FFFFFFF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D9D9D9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 indent="1"/>
    </xf>
    <xf numFmtId="0" fontId="4" fillId="3" borderId="1" xfId="0" applyFont="1" applyFill="1" applyBorder="1" applyAlignment="1">
      <alignment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 inden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 inden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 indent="1"/>
    </xf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/>
    <xf numFmtId="0" fontId="5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F8CBA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EFD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CE4D6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30"/>
  <sheetViews>
    <sheetView showGridLines="0" tabSelected="1" workbookViewId="0">
      <pane ySplit="4" topLeftCell="A5" activePane="bottomLeft" state="frozen"/>
      <selection/>
      <selection pane="bottomLeft" activeCell="A2" sqref="A2:M2"/>
    </sheetView>
  </sheetViews>
  <sheetFormatPr defaultColWidth="8.67619047619048" defaultRowHeight="15"/>
  <cols>
    <col min="1" max="1" width="10" style="17" customWidth="1"/>
    <col min="2" max="2" width="28" customWidth="1"/>
    <col min="3" max="3" width="16" customWidth="1"/>
    <col min="4" max="4" width="34" customWidth="1"/>
    <col min="5" max="5" width="22" customWidth="1"/>
    <col min="6" max="8" width="5" customWidth="1"/>
    <col min="9" max="9" width="9" customWidth="1"/>
    <col min="10" max="10" width="10" customWidth="1"/>
    <col min="11" max="11" width="16" customWidth="1"/>
    <col min="12" max="12" width="46" customWidth="1"/>
    <col min="13" max="13" width="16" customWidth="1"/>
    <col min="14" max="14" width="40" customWidth="1"/>
  </cols>
  <sheetData>
    <row r="1" ht="21.75" customHeight="1" spans="1: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3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3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ht="30" customHeight="1" spans="1:35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  <c r="N4" s="23" t="s">
        <v>15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5"/>
    </row>
    <row r="5" ht="42" customHeight="1" spans="1:35">
      <c r="A5" s="4" t="s">
        <v>16</v>
      </c>
      <c r="B5" s="26" t="s">
        <v>17</v>
      </c>
      <c r="C5" s="26" t="s">
        <v>18</v>
      </c>
      <c r="D5" s="26" t="s">
        <v>19</v>
      </c>
      <c r="E5" s="26" t="s">
        <v>20</v>
      </c>
      <c r="F5" s="26">
        <v>5</v>
      </c>
      <c r="G5" s="26">
        <v>5</v>
      </c>
      <c r="H5" s="26">
        <v>5</v>
      </c>
      <c r="I5" s="27">
        <f t="shared" ref="I5:I30" si="0">AVERAGE(F5:H5)</f>
        <v>5</v>
      </c>
      <c r="J5" s="28" t="str">
        <f t="shared" ref="J5:J30" si="1">IF(I5&gt;=4.3,"Critical",IF(I5&gt;=3.5,"High",IF(I5&gt;=2.5,"Medium","Low")))</f>
        <v>Critical</v>
      </c>
      <c r="K5" s="29">
        <v>800000000</v>
      </c>
      <c r="L5" s="26" t="s">
        <v>21</v>
      </c>
      <c r="M5" s="26" t="s">
        <v>22</v>
      </c>
      <c r="N5" s="26" t="s">
        <v>23</v>
      </c>
      <c r="P5" s="30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2"/>
    </row>
    <row r="6" ht="42" customHeight="1" spans="1:35">
      <c r="A6" s="4" t="s">
        <v>24</v>
      </c>
      <c r="B6" s="26" t="s">
        <v>25</v>
      </c>
      <c r="C6" s="26" t="s">
        <v>26</v>
      </c>
      <c r="D6" s="26" t="s">
        <v>27</v>
      </c>
      <c r="E6" s="26" t="s">
        <v>28</v>
      </c>
      <c r="F6" s="26">
        <v>4</v>
      </c>
      <c r="G6" s="26">
        <v>5</v>
      </c>
      <c r="H6" s="26">
        <v>4</v>
      </c>
      <c r="I6" s="27">
        <f t="shared" si="0"/>
        <v>4.33333333333333</v>
      </c>
      <c r="J6" s="28" t="str">
        <f t="shared" si="1"/>
        <v>Critical</v>
      </c>
      <c r="K6" s="29">
        <v>180000000</v>
      </c>
      <c r="L6" s="26" t="s">
        <v>29</v>
      </c>
      <c r="M6" s="26" t="s">
        <v>30</v>
      </c>
      <c r="N6" s="26" t="s">
        <v>31</v>
      </c>
      <c r="P6" s="33"/>
    </row>
    <row r="7" ht="42" customHeight="1" spans="1:35">
      <c r="A7" s="4" t="s">
        <v>32</v>
      </c>
      <c r="B7" s="26" t="s">
        <v>33</v>
      </c>
      <c r="C7" s="26" t="s">
        <v>26</v>
      </c>
      <c r="D7" s="26" t="s">
        <v>34</v>
      </c>
      <c r="E7" s="26" t="s">
        <v>28</v>
      </c>
      <c r="F7" s="26">
        <v>4</v>
      </c>
      <c r="G7" s="26">
        <v>5</v>
      </c>
      <c r="H7" s="26">
        <v>4</v>
      </c>
      <c r="I7" s="27">
        <f t="shared" si="0"/>
        <v>4.33333333333333</v>
      </c>
      <c r="J7" s="28" t="str">
        <f t="shared" si="1"/>
        <v>Critical</v>
      </c>
      <c r="K7" s="29">
        <v>150000000</v>
      </c>
      <c r="L7" s="26" t="s">
        <v>35</v>
      </c>
      <c r="M7" s="26" t="s">
        <v>30</v>
      </c>
      <c r="N7" s="26" t="s">
        <v>36</v>
      </c>
    </row>
    <row r="8" ht="42" customHeight="1" spans="1:35">
      <c r="A8" s="4" t="s">
        <v>37</v>
      </c>
      <c r="B8" s="26" t="s">
        <v>38</v>
      </c>
      <c r="C8" s="26" t="s">
        <v>26</v>
      </c>
      <c r="D8" s="26" t="s">
        <v>39</v>
      </c>
      <c r="E8" s="26" t="s">
        <v>28</v>
      </c>
      <c r="F8" s="26">
        <v>3</v>
      </c>
      <c r="G8" s="26">
        <v>4</v>
      </c>
      <c r="H8" s="26">
        <v>4</v>
      </c>
      <c r="I8" s="27">
        <f t="shared" si="0"/>
        <v>3.66666666666667</v>
      </c>
      <c r="J8" s="28" t="str">
        <f t="shared" si="1"/>
        <v>High</v>
      </c>
      <c r="K8" s="29">
        <v>40000000</v>
      </c>
      <c r="L8" s="26" t="s">
        <v>40</v>
      </c>
      <c r="M8" s="26" t="s">
        <v>30</v>
      </c>
      <c r="N8" s="26" t="s">
        <v>41</v>
      </c>
    </row>
    <row r="9" ht="42" customHeight="1" spans="1:35">
      <c r="A9" s="4" t="s">
        <v>42</v>
      </c>
      <c r="B9" s="26" t="s">
        <v>43</v>
      </c>
      <c r="C9" s="26" t="s">
        <v>26</v>
      </c>
      <c r="D9" s="26" t="s">
        <v>44</v>
      </c>
      <c r="E9" s="26" t="s">
        <v>45</v>
      </c>
      <c r="F9" s="26">
        <v>4</v>
      </c>
      <c r="G9" s="26">
        <v>3</v>
      </c>
      <c r="H9" s="26">
        <v>3</v>
      </c>
      <c r="I9" s="27">
        <f t="shared" si="0"/>
        <v>3.33333333333333</v>
      </c>
      <c r="J9" s="28" t="str">
        <f t="shared" si="1"/>
        <v>Medium</v>
      </c>
      <c r="K9" s="29">
        <v>50000000</v>
      </c>
      <c r="L9" s="26" t="s">
        <v>46</v>
      </c>
      <c r="M9" s="26" t="s">
        <v>47</v>
      </c>
      <c r="N9" s="26" t="s">
        <v>48</v>
      </c>
    </row>
    <row r="10" ht="42" customHeight="1" spans="1:35">
      <c r="A10" s="4" t="s">
        <v>49</v>
      </c>
      <c r="B10" s="26" t="s">
        <v>50</v>
      </c>
      <c r="C10" s="26" t="s">
        <v>51</v>
      </c>
      <c r="D10" s="26" t="s">
        <v>52</v>
      </c>
      <c r="E10" s="26" t="s">
        <v>53</v>
      </c>
      <c r="F10" s="26">
        <v>5</v>
      </c>
      <c r="G10" s="26">
        <v>5</v>
      </c>
      <c r="H10" s="26">
        <v>5</v>
      </c>
      <c r="I10" s="27">
        <f t="shared" si="0"/>
        <v>5</v>
      </c>
      <c r="J10" s="28" t="str">
        <f t="shared" si="1"/>
        <v>Critical</v>
      </c>
      <c r="K10" s="29">
        <v>350000000</v>
      </c>
      <c r="L10" s="26" t="s">
        <v>54</v>
      </c>
      <c r="M10" s="26" t="s">
        <v>30</v>
      </c>
      <c r="N10" s="26" t="s">
        <v>55</v>
      </c>
    </row>
    <row r="11" ht="42" customHeight="1" spans="1:35">
      <c r="A11" s="4" t="s">
        <v>56</v>
      </c>
      <c r="B11" s="26" t="s">
        <v>57</v>
      </c>
      <c r="C11" s="26" t="s">
        <v>58</v>
      </c>
      <c r="D11" s="26" t="s">
        <v>59</v>
      </c>
      <c r="E11" s="26" t="s">
        <v>53</v>
      </c>
      <c r="F11" s="26">
        <v>4</v>
      </c>
      <c r="G11" s="26">
        <v>4</v>
      </c>
      <c r="H11" s="26">
        <v>4</v>
      </c>
      <c r="I11" s="27">
        <f t="shared" si="0"/>
        <v>4</v>
      </c>
      <c r="J11" s="28" t="str">
        <f t="shared" si="1"/>
        <v>High</v>
      </c>
      <c r="K11" s="29">
        <v>90000000</v>
      </c>
      <c r="L11" s="26" t="s">
        <v>60</v>
      </c>
      <c r="M11" s="26" t="s">
        <v>30</v>
      </c>
      <c r="N11" s="26" t="s">
        <v>61</v>
      </c>
    </row>
    <row r="12" ht="42" customHeight="1" spans="1:35">
      <c r="A12" s="4" t="s">
        <v>62</v>
      </c>
      <c r="B12" s="26" t="s">
        <v>63</v>
      </c>
      <c r="C12" s="26" t="s">
        <v>58</v>
      </c>
      <c r="D12" s="26" t="s">
        <v>64</v>
      </c>
      <c r="E12" s="26" t="s">
        <v>53</v>
      </c>
      <c r="F12" s="26">
        <v>5</v>
      </c>
      <c r="G12" s="26">
        <v>5</v>
      </c>
      <c r="H12" s="26">
        <v>5</v>
      </c>
      <c r="I12" s="27">
        <f t="shared" si="0"/>
        <v>5</v>
      </c>
      <c r="J12" s="28" t="str">
        <f t="shared" si="1"/>
        <v>Critical</v>
      </c>
      <c r="K12" s="29">
        <v>400000000</v>
      </c>
      <c r="L12" s="26" t="s">
        <v>65</v>
      </c>
      <c r="M12" s="26" t="s">
        <v>30</v>
      </c>
      <c r="N12" s="26" t="s">
        <v>66</v>
      </c>
    </row>
    <row r="13" ht="42" customHeight="1" spans="1:35">
      <c r="A13" s="4" t="s">
        <v>67</v>
      </c>
      <c r="B13" s="26" t="s">
        <v>68</v>
      </c>
      <c r="C13" s="26" t="s">
        <v>18</v>
      </c>
      <c r="D13" s="26" t="s">
        <v>69</v>
      </c>
      <c r="E13" s="26" t="s">
        <v>70</v>
      </c>
      <c r="F13" s="26">
        <v>4</v>
      </c>
      <c r="G13" s="26">
        <v>4</v>
      </c>
      <c r="H13" s="26">
        <v>4</v>
      </c>
      <c r="I13" s="27">
        <f t="shared" si="0"/>
        <v>4</v>
      </c>
      <c r="J13" s="28" t="str">
        <f t="shared" si="1"/>
        <v>High</v>
      </c>
      <c r="K13" s="29">
        <v>90000000</v>
      </c>
      <c r="L13" s="26" t="s">
        <v>71</v>
      </c>
      <c r="M13" s="26" t="s">
        <v>72</v>
      </c>
      <c r="N13" s="26" t="s">
        <v>73</v>
      </c>
    </row>
    <row r="14" ht="42" customHeight="1" spans="1:35">
      <c r="A14" s="4" t="s">
        <v>74</v>
      </c>
      <c r="B14" s="26" t="s">
        <v>75</v>
      </c>
      <c r="C14" s="26" t="s">
        <v>58</v>
      </c>
      <c r="D14" s="26" t="s">
        <v>76</v>
      </c>
      <c r="E14" s="26" t="s">
        <v>77</v>
      </c>
      <c r="F14" s="26">
        <v>5</v>
      </c>
      <c r="G14" s="26">
        <v>5</v>
      </c>
      <c r="H14" s="26">
        <v>4</v>
      </c>
      <c r="I14" s="27">
        <f t="shared" si="0"/>
        <v>4.66666666666667</v>
      </c>
      <c r="J14" s="28" t="str">
        <f t="shared" si="1"/>
        <v>Critical</v>
      </c>
      <c r="K14" s="29">
        <v>220000000</v>
      </c>
      <c r="L14" s="26" t="s">
        <v>78</v>
      </c>
      <c r="M14" s="26" t="s">
        <v>47</v>
      </c>
      <c r="N14" s="26" t="s">
        <v>79</v>
      </c>
    </row>
    <row r="15" ht="42" customHeight="1" spans="1:35">
      <c r="A15" s="4" t="s">
        <v>80</v>
      </c>
      <c r="B15" s="26" t="s">
        <v>81</v>
      </c>
      <c r="C15" s="26" t="s">
        <v>26</v>
      </c>
      <c r="D15" s="26" t="s">
        <v>82</v>
      </c>
      <c r="E15" s="26" t="s">
        <v>83</v>
      </c>
      <c r="F15" s="26">
        <v>4</v>
      </c>
      <c r="G15" s="26">
        <v>3</v>
      </c>
      <c r="H15" s="26">
        <v>3</v>
      </c>
      <c r="I15" s="27">
        <f t="shared" si="0"/>
        <v>3.33333333333333</v>
      </c>
      <c r="J15" s="28" t="str">
        <f t="shared" si="1"/>
        <v>Medium</v>
      </c>
      <c r="K15" s="29">
        <v>40000000</v>
      </c>
      <c r="L15" s="26" t="s">
        <v>84</v>
      </c>
      <c r="M15" s="26" t="s">
        <v>72</v>
      </c>
      <c r="N15" s="26" t="s">
        <v>85</v>
      </c>
    </row>
    <row r="16" ht="42" customHeight="1" spans="1:35">
      <c r="A16" s="4" t="s">
        <v>86</v>
      </c>
      <c r="B16" s="26" t="s">
        <v>87</v>
      </c>
      <c r="C16" s="26" t="s">
        <v>88</v>
      </c>
      <c r="D16" s="26" t="s">
        <v>89</v>
      </c>
      <c r="E16" s="26" t="s">
        <v>90</v>
      </c>
      <c r="F16" s="26">
        <v>5</v>
      </c>
      <c r="G16" s="26">
        <v>5</v>
      </c>
      <c r="H16" s="26">
        <v>4</v>
      </c>
      <c r="I16" s="27">
        <f t="shared" si="0"/>
        <v>4.66666666666667</v>
      </c>
      <c r="J16" s="28" t="str">
        <f t="shared" si="1"/>
        <v>Critical</v>
      </c>
      <c r="K16" s="29">
        <v>300000000</v>
      </c>
      <c r="L16" s="26" t="s">
        <v>91</v>
      </c>
      <c r="M16" s="26" t="s">
        <v>22</v>
      </c>
      <c r="N16" s="26" t="s">
        <v>92</v>
      </c>
    </row>
    <row r="17" ht="42" customHeight="1" spans="1:14">
      <c r="A17" s="4" t="s">
        <v>93</v>
      </c>
      <c r="B17" s="26" t="s">
        <v>94</v>
      </c>
      <c r="C17" s="26" t="s">
        <v>58</v>
      </c>
      <c r="D17" s="26" t="s">
        <v>95</v>
      </c>
      <c r="E17" s="26" t="s">
        <v>96</v>
      </c>
      <c r="F17" s="26">
        <v>4</v>
      </c>
      <c r="G17" s="26">
        <v>4</v>
      </c>
      <c r="H17" s="26">
        <v>3</v>
      </c>
      <c r="I17" s="27">
        <f t="shared" si="0"/>
        <v>3.66666666666667</v>
      </c>
      <c r="J17" s="28" t="str">
        <f t="shared" si="1"/>
        <v>High</v>
      </c>
      <c r="K17" s="29">
        <v>130000000</v>
      </c>
      <c r="L17" s="26" t="s">
        <v>97</v>
      </c>
      <c r="M17" s="26" t="s">
        <v>72</v>
      </c>
      <c r="N17" s="26" t="s">
        <v>98</v>
      </c>
    </row>
    <row r="18" ht="42" customHeight="1" spans="1:14">
      <c r="A18" s="4" t="s">
        <v>99</v>
      </c>
      <c r="B18" s="26" t="s">
        <v>100</v>
      </c>
      <c r="C18" s="26" t="s">
        <v>26</v>
      </c>
      <c r="D18" s="26" t="s">
        <v>101</v>
      </c>
      <c r="E18" s="26" t="s">
        <v>96</v>
      </c>
      <c r="F18" s="26">
        <v>3</v>
      </c>
      <c r="G18" s="26">
        <v>3</v>
      </c>
      <c r="H18" s="26">
        <v>3</v>
      </c>
      <c r="I18" s="27">
        <f t="shared" si="0"/>
        <v>3</v>
      </c>
      <c r="J18" s="28" t="str">
        <f t="shared" si="1"/>
        <v>Medium</v>
      </c>
      <c r="K18" s="29">
        <v>60000000</v>
      </c>
      <c r="L18" s="26" t="s">
        <v>102</v>
      </c>
      <c r="M18" s="26" t="s">
        <v>72</v>
      </c>
      <c r="N18" s="26" t="s">
        <v>103</v>
      </c>
    </row>
    <row r="19" ht="42" customHeight="1" spans="1:14">
      <c r="A19" s="4" t="s">
        <v>104</v>
      </c>
      <c r="B19" s="26" t="s">
        <v>105</v>
      </c>
      <c r="C19" s="26" t="s">
        <v>58</v>
      </c>
      <c r="D19" s="26" t="s">
        <v>106</v>
      </c>
      <c r="E19" s="26" t="s">
        <v>107</v>
      </c>
      <c r="F19" s="26">
        <v>4</v>
      </c>
      <c r="G19" s="26">
        <v>5</v>
      </c>
      <c r="H19" s="26">
        <v>3</v>
      </c>
      <c r="I19" s="27">
        <f t="shared" si="0"/>
        <v>4</v>
      </c>
      <c r="J19" s="28" t="str">
        <f t="shared" si="1"/>
        <v>High</v>
      </c>
      <c r="K19" s="29">
        <v>150000000</v>
      </c>
      <c r="L19" s="26" t="s">
        <v>108</v>
      </c>
      <c r="M19" s="26" t="s">
        <v>47</v>
      </c>
      <c r="N19" s="26" t="s">
        <v>109</v>
      </c>
    </row>
    <row r="20" ht="42" customHeight="1" spans="1:14">
      <c r="A20" s="4" t="s">
        <v>110</v>
      </c>
      <c r="B20" s="26" t="s">
        <v>111</v>
      </c>
      <c r="C20" s="26" t="s">
        <v>58</v>
      </c>
      <c r="D20" s="26" t="s">
        <v>112</v>
      </c>
      <c r="E20" s="26" t="s">
        <v>113</v>
      </c>
      <c r="F20" s="26">
        <v>4</v>
      </c>
      <c r="G20" s="26">
        <v>5</v>
      </c>
      <c r="H20" s="26">
        <v>4</v>
      </c>
      <c r="I20" s="27">
        <f t="shared" si="0"/>
        <v>4.33333333333333</v>
      </c>
      <c r="J20" s="28" t="str">
        <f t="shared" si="1"/>
        <v>Critical</v>
      </c>
      <c r="K20" s="29">
        <v>200000000</v>
      </c>
      <c r="L20" s="26" t="s">
        <v>114</v>
      </c>
      <c r="M20" s="26" t="s">
        <v>30</v>
      </c>
      <c r="N20" s="26" t="s">
        <v>115</v>
      </c>
    </row>
    <row r="21" ht="42" customHeight="1" spans="1:14">
      <c r="A21" s="4" t="s">
        <v>116</v>
      </c>
      <c r="B21" s="26" t="s">
        <v>117</v>
      </c>
      <c r="C21" s="26" t="s">
        <v>118</v>
      </c>
      <c r="D21" s="26" t="s">
        <v>119</v>
      </c>
      <c r="E21" s="26" t="s">
        <v>120</v>
      </c>
      <c r="F21" s="26">
        <v>4</v>
      </c>
      <c r="G21" s="26">
        <v>4</v>
      </c>
      <c r="H21" s="26">
        <v>5</v>
      </c>
      <c r="I21" s="27">
        <f t="shared" si="0"/>
        <v>4.33333333333333</v>
      </c>
      <c r="J21" s="28" t="str">
        <f t="shared" si="1"/>
        <v>Critical</v>
      </c>
      <c r="K21" s="29">
        <v>300000000</v>
      </c>
      <c r="L21" s="26" t="s">
        <v>121</v>
      </c>
      <c r="M21" s="26" t="s">
        <v>72</v>
      </c>
      <c r="N21" s="26" t="s">
        <v>122</v>
      </c>
    </row>
    <row r="22" ht="42" customHeight="1" spans="1:14">
      <c r="A22" s="4" t="s">
        <v>123</v>
      </c>
      <c r="B22" s="26" t="s">
        <v>124</v>
      </c>
      <c r="C22" s="26" t="s">
        <v>58</v>
      </c>
      <c r="D22" s="26" t="s">
        <v>125</v>
      </c>
      <c r="E22" s="26" t="s">
        <v>83</v>
      </c>
      <c r="F22" s="26">
        <v>5</v>
      </c>
      <c r="G22" s="26">
        <v>5</v>
      </c>
      <c r="H22" s="26">
        <v>4</v>
      </c>
      <c r="I22" s="27">
        <f t="shared" si="0"/>
        <v>4.66666666666667</v>
      </c>
      <c r="J22" s="28" t="str">
        <f t="shared" si="1"/>
        <v>Critical</v>
      </c>
      <c r="K22" s="29">
        <v>250000000</v>
      </c>
      <c r="L22" s="26" t="s">
        <v>126</v>
      </c>
      <c r="M22" s="26" t="s">
        <v>47</v>
      </c>
      <c r="N22" s="26" t="s">
        <v>127</v>
      </c>
    </row>
    <row r="23" ht="42" customHeight="1" spans="1:14">
      <c r="A23" s="4" t="s">
        <v>128</v>
      </c>
      <c r="B23" s="26" t="s">
        <v>129</v>
      </c>
      <c r="C23" s="26" t="s">
        <v>58</v>
      </c>
      <c r="D23" s="26" t="s">
        <v>130</v>
      </c>
      <c r="E23" s="26" t="s">
        <v>83</v>
      </c>
      <c r="F23" s="26">
        <v>4</v>
      </c>
      <c r="G23" s="26">
        <v>4</v>
      </c>
      <c r="H23" s="26">
        <v>4</v>
      </c>
      <c r="I23" s="27">
        <f t="shared" si="0"/>
        <v>4</v>
      </c>
      <c r="J23" s="28" t="str">
        <f t="shared" si="1"/>
        <v>High</v>
      </c>
      <c r="K23" s="29">
        <v>120000000</v>
      </c>
      <c r="L23" s="26" t="s">
        <v>131</v>
      </c>
      <c r="M23" s="26" t="s">
        <v>72</v>
      </c>
      <c r="N23" s="26" t="s">
        <v>132</v>
      </c>
    </row>
    <row r="24" ht="42" customHeight="1" spans="1:14">
      <c r="A24" s="4" t="s">
        <v>133</v>
      </c>
      <c r="B24" s="26" t="s">
        <v>134</v>
      </c>
      <c r="C24" s="26" t="s">
        <v>58</v>
      </c>
      <c r="D24" s="26" t="s">
        <v>135</v>
      </c>
      <c r="E24" s="26" t="s">
        <v>83</v>
      </c>
      <c r="F24" s="26">
        <v>5</v>
      </c>
      <c r="G24" s="26">
        <v>4</v>
      </c>
      <c r="H24" s="26">
        <v>4</v>
      </c>
      <c r="I24" s="27">
        <f t="shared" si="0"/>
        <v>4.33333333333333</v>
      </c>
      <c r="J24" s="28" t="str">
        <f t="shared" si="1"/>
        <v>Critical</v>
      </c>
      <c r="K24" s="29">
        <v>100000000</v>
      </c>
      <c r="L24" s="26" t="s">
        <v>136</v>
      </c>
      <c r="M24" s="26" t="s">
        <v>47</v>
      </c>
      <c r="N24" s="26" t="s">
        <v>137</v>
      </c>
    </row>
    <row r="25" ht="42" customHeight="1" spans="1:14">
      <c r="A25" s="4" t="s">
        <v>138</v>
      </c>
      <c r="B25" s="26" t="s">
        <v>139</v>
      </c>
      <c r="C25" s="26" t="s">
        <v>140</v>
      </c>
      <c r="D25" s="26" t="s">
        <v>141</v>
      </c>
      <c r="E25" s="26" t="s">
        <v>142</v>
      </c>
      <c r="F25" s="26">
        <v>3</v>
      </c>
      <c r="G25" s="26">
        <v>3</v>
      </c>
      <c r="H25" s="26">
        <v>3</v>
      </c>
      <c r="I25" s="27">
        <f t="shared" si="0"/>
        <v>3</v>
      </c>
      <c r="J25" s="28" t="str">
        <f t="shared" si="1"/>
        <v>Medium</v>
      </c>
      <c r="K25" s="29">
        <v>30000000</v>
      </c>
      <c r="L25" s="26" t="s">
        <v>143</v>
      </c>
      <c r="M25" s="26" t="s">
        <v>22</v>
      </c>
      <c r="N25" s="26" t="s">
        <v>144</v>
      </c>
    </row>
    <row r="26" ht="42" customHeight="1" spans="1:14">
      <c r="A26" s="4" t="s">
        <v>145</v>
      </c>
      <c r="B26" s="26" t="s">
        <v>146</v>
      </c>
      <c r="C26" s="26" t="s">
        <v>140</v>
      </c>
      <c r="D26" s="26" t="s">
        <v>147</v>
      </c>
      <c r="E26" s="26" t="s">
        <v>148</v>
      </c>
      <c r="F26" s="26">
        <v>4</v>
      </c>
      <c r="G26" s="26">
        <v>4</v>
      </c>
      <c r="H26" s="26">
        <v>5</v>
      </c>
      <c r="I26" s="27">
        <f t="shared" si="0"/>
        <v>4.33333333333333</v>
      </c>
      <c r="J26" s="28" t="str">
        <f t="shared" si="1"/>
        <v>Critical</v>
      </c>
      <c r="K26" s="29">
        <v>100000000</v>
      </c>
      <c r="L26" s="26" t="s">
        <v>149</v>
      </c>
      <c r="M26" s="26" t="s">
        <v>30</v>
      </c>
      <c r="N26" s="26" t="s">
        <v>150</v>
      </c>
    </row>
    <row r="27" ht="42" customHeight="1" spans="1:14">
      <c r="A27" s="4" t="s">
        <v>151</v>
      </c>
      <c r="B27" s="26" t="s">
        <v>152</v>
      </c>
      <c r="C27" s="26" t="s">
        <v>153</v>
      </c>
      <c r="D27" s="26" t="s">
        <v>154</v>
      </c>
      <c r="E27" s="26" t="s">
        <v>120</v>
      </c>
      <c r="F27" s="26">
        <v>3</v>
      </c>
      <c r="G27" s="26">
        <v>4</v>
      </c>
      <c r="H27" s="26">
        <v>5</v>
      </c>
      <c r="I27" s="27">
        <f t="shared" si="0"/>
        <v>4</v>
      </c>
      <c r="J27" s="28" t="str">
        <f t="shared" si="1"/>
        <v>High</v>
      </c>
      <c r="K27" s="29">
        <v>500000000</v>
      </c>
      <c r="L27" s="26" t="s">
        <v>155</v>
      </c>
      <c r="M27" s="26" t="s">
        <v>47</v>
      </c>
      <c r="N27" s="26" t="s">
        <v>156</v>
      </c>
    </row>
    <row r="28" ht="42" customHeight="1" spans="1:14">
      <c r="A28" s="4" t="s">
        <v>157</v>
      </c>
      <c r="B28" s="26" t="s">
        <v>158</v>
      </c>
      <c r="C28" s="26" t="s">
        <v>159</v>
      </c>
      <c r="D28" s="26" t="s">
        <v>160</v>
      </c>
      <c r="E28" s="26" t="s">
        <v>161</v>
      </c>
      <c r="F28" s="26">
        <v>4</v>
      </c>
      <c r="G28" s="26">
        <v>4</v>
      </c>
      <c r="H28" s="26">
        <v>3</v>
      </c>
      <c r="I28" s="27">
        <f t="shared" si="0"/>
        <v>3.66666666666667</v>
      </c>
      <c r="J28" s="28" t="str">
        <f t="shared" si="1"/>
        <v>High</v>
      </c>
      <c r="K28" s="29">
        <v>20000000</v>
      </c>
      <c r="L28" s="26" t="s">
        <v>162</v>
      </c>
      <c r="M28" s="26" t="s">
        <v>47</v>
      </c>
      <c r="N28" s="26" t="s">
        <v>163</v>
      </c>
    </row>
    <row r="29" ht="42" customHeight="1" spans="1:14">
      <c r="A29" s="4" t="s">
        <v>164</v>
      </c>
      <c r="B29" s="26" t="s">
        <v>165</v>
      </c>
      <c r="C29" s="26" t="s">
        <v>88</v>
      </c>
      <c r="D29" s="26" t="s">
        <v>166</v>
      </c>
      <c r="E29" s="26" t="s">
        <v>167</v>
      </c>
      <c r="F29" s="26">
        <v>5</v>
      </c>
      <c r="G29" s="26">
        <v>5</v>
      </c>
      <c r="H29" s="26">
        <v>4</v>
      </c>
      <c r="I29" s="27">
        <f t="shared" si="0"/>
        <v>4.66666666666667</v>
      </c>
      <c r="J29" s="28" t="str">
        <f t="shared" si="1"/>
        <v>Critical</v>
      </c>
      <c r="K29" s="29">
        <v>450000000</v>
      </c>
      <c r="L29" s="26" t="s">
        <v>168</v>
      </c>
      <c r="M29" s="26" t="s">
        <v>22</v>
      </c>
      <c r="N29" s="26" t="s">
        <v>169</v>
      </c>
    </row>
    <row r="30" ht="42" customHeight="1" spans="1:14">
      <c r="A30" s="4" t="s">
        <v>170</v>
      </c>
      <c r="B30" s="26" t="s">
        <v>171</v>
      </c>
      <c r="C30" s="26" t="s">
        <v>172</v>
      </c>
      <c r="D30" s="26" t="s">
        <v>173</v>
      </c>
      <c r="E30" s="26" t="s">
        <v>174</v>
      </c>
      <c r="F30" s="26">
        <v>4</v>
      </c>
      <c r="G30" s="26">
        <v>4</v>
      </c>
      <c r="H30" s="26">
        <v>3</v>
      </c>
      <c r="I30" s="27">
        <f t="shared" si="0"/>
        <v>3.66666666666667</v>
      </c>
      <c r="J30" s="28" t="str">
        <f t="shared" si="1"/>
        <v>High</v>
      </c>
      <c r="K30" s="29">
        <v>50000000</v>
      </c>
      <c r="L30" s="26" t="s">
        <v>175</v>
      </c>
      <c r="M30" s="26" t="s">
        <v>30</v>
      </c>
      <c r="N30" s="26" t="s">
        <v>176</v>
      </c>
    </row>
  </sheetData>
  <autoFilter xmlns:etc="http://www.wps.cn/officeDocument/2017/etCustomData" ref="A4:N30" etc:filterBottomFollowUsedRange="0">
    <extLst/>
  </autoFilter>
  <mergeCells count="2">
    <mergeCell ref="A1:M1"/>
    <mergeCell ref="A2:M2"/>
  </mergeCells>
  <conditionalFormatting sqref="J5:J30">
    <cfRule type="cellIs" dxfId="0" priority="2" operator="equal">
      <formula>"Critical"</formula>
    </cfRule>
    <cfRule type="cellIs" dxfId="1" priority="3" operator="equal">
      <formula>"High"</formula>
    </cfRule>
    <cfRule type="cellIs" dxfId="2" priority="4" operator="equal">
      <formula>"Medium"</formula>
    </cfRule>
    <cfRule type="cellIs" dxfId="3" priority="5" operator="equal">
      <formula>"Low"</formula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32"/>
  <sheetViews>
    <sheetView showGridLines="0" workbookViewId="0">
      <selection activeCell="F29" sqref="F29"/>
    </sheetView>
  </sheetViews>
  <sheetFormatPr defaultColWidth="8.67619047619048" defaultRowHeight="15" outlineLevelCol="2"/>
  <cols>
    <col min="1" max="1" width="3" customWidth="1"/>
    <col min="2" max="2" width="17" customWidth="1"/>
    <col min="3" max="3" width="62" customWidth="1"/>
    <col min="4" max="4" width="3" customWidth="1"/>
  </cols>
  <sheetData>
    <row r="2" ht="21" spans="2:3">
      <c r="B2" s="1" t="s">
        <v>177</v>
      </c>
      <c r="C2" s="1"/>
    </row>
    <row r="3" spans="2:3">
      <c r="B3" s="2" t="s">
        <v>178</v>
      </c>
      <c r="C3" s="2"/>
    </row>
    <row r="5" ht="24" customHeight="1" spans="2:3">
      <c r="B5" s="3" t="s">
        <v>179</v>
      </c>
      <c r="C5" s="3"/>
    </row>
    <row r="7" ht="48" customHeight="1" spans="2:3">
      <c r="B7" s="4" t="s">
        <v>10</v>
      </c>
      <c r="C7" s="5" t="s">
        <v>180</v>
      </c>
    </row>
    <row r="8" ht="63" customHeight="1" spans="2:3">
      <c r="B8" s="4" t="s">
        <v>181</v>
      </c>
      <c r="C8" s="5" t="s">
        <v>182</v>
      </c>
    </row>
    <row r="10" ht="24" customHeight="1" spans="2:3">
      <c r="B10" s="3" t="s">
        <v>183</v>
      </c>
      <c r="C10" s="3"/>
    </row>
    <row r="11" ht="18" customHeight="1" spans="2:3">
      <c r="B11" s="6" t="s">
        <v>184</v>
      </c>
      <c r="C11" s="6" t="s">
        <v>5</v>
      </c>
    </row>
    <row r="12" ht="18" customHeight="1" spans="2:3">
      <c r="B12" s="4" t="s">
        <v>185</v>
      </c>
      <c r="C12" s="5" t="s">
        <v>186</v>
      </c>
    </row>
    <row r="13" ht="18" customHeight="1" spans="2:3">
      <c r="B13" s="4" t="s">
        <v>187</v>
      </c>
      <c r="C13" s="5" t="s">
        <v>188</v>
      </c>
    </row>
    <row r="14" ht="18" customHeight="1" spans="2:3">
      <c r="B14" s="4" t="s">
        <v>189</v>
      </c>
      <c r="C14" s="5" t="s">
        <v>190</v>
      </c>
    </row>
    <row r="15" ht="18" customHeight="1" spans="2:3">
      <c r="B15" s="4" t="s">
        <v>191</v>
      </c>
      <c r="C15" s="5" t="s">
        <v>192</v>
      </c>
    </row>
    <row r="16" ht="27" customHeight="1" spans="2:3">
      <c r="B16" s="4" t="s">
        <v>193</v>
      </c>
      <c r="C16" s="5" t="s">
        <v>194</v>
      </c>
    </row>
    <row r="18" ht="24" customHeight="1" spans="2:3">
      <c r="B18" s="3" t="s">
        <v>195</v>
      </c>
      <c r="C18" s="3"/>
    </row>
    <row r="19" ht="30" customHeight="1" spans="2:3">
      <c r="B19" s="4" t="s">
        <v>196</v>
      </c>
      <c r="C19" s="5" t="s">
        <v>197</v>
      </c>
    </row>
    <row r="21" ht="24" customHeight="1" spans="2:3">
      <c r="B21" s="3" t="s">
        <v>198</v>
      </c>
      <c r="C21" s="3"/>
    </row>
    <row r="22" ht="18" customHeight="1" spans="2:3">
      <c r="B22" s="6" t="s">
        <v>11</v>
      </c>
      <c r="C22" s="6" t="s">
        <v>199</v>
      </c>
    </row>
    <row r="23" ht="18" customHeight="1" spans="2:3">
      <c r="B23" s="7" t="s">
        <v>200</v>
      </c>
      <c r="C23" s="5" t="s">
        <v>201</v>
      </c>
    </row>
    <row r="24" ht="18" customHeight="1" spans="2:3">
      <c r="B24" s="8" t="s">
        <v>202</v>
      </c>
      <c r="C24" s="5" t="s">
        <v>203</v>
      </c>
    </row>
    <row r="25" ht="18" customHeight="1" spans="2:3">
      <c r="B25" s="9" t="s">
        <v>204</v>
      </c>
      <c r="C25" s="5" t="s">
        <v>205</v>
      </c>
    </row>
    <row r="26" ht="18" customHeight="1" spans="2:3">
      <c r="B26" s="10" t="s">
        <v>206</v>
      </c>
      <c r="C26" s="5" t="s">
        <v>207</v>
      </c>
    </row>
    <row r="28" ht="24" customHeight="1" spans="2:3">
      <c r="B28" s="3" t="s">
        <v>208</v>
      </c>
      <c r="C28" s="3"/>
    </row>
    <row r="29" ht="54" customHeight="1" spans="2:3">
      <c r="B29" s="11" t="s">
        <v>209</v>
      </c>
      <c r="C29" s="12" t="s">
        <v>210</v>
      </c>
    </row>
    <row r="30" ht="31.5" customHeight="1" spans="2:3">
      <c r="B30" s="13" t="s">
        <v>209</v>
      </c>
      <c r="C30" s="14" t="s">
        <v>211</v>
      </c>
    </row>
    <row r="31" ht="31.5" customHeight="1" spans="2:3">
      <c r="B31" s="13" t="s">
        <v>209</v>
      </c>
      <c r="C31" s="14" t="s">
        <v>212</v>
      </c>
    </row>
    <row r="32" ht="55" customHeight="1" spans="2:3">
      <c r="B32" s="15" t="s">
        <v>209</v>
      </c>
      <c r="C32" s="16" t="s">
        <v>213</v>
      </c>
    </row>
  </sheetData>
  <mergeCells count="7">
    <mergeCell ref="B2:C2"/>
    <mergeCell ref="B3:C3"/>
    <mergeCell ref="B5:C5"/>
    <mergeCell ref="B10:C10"/>
    <mergeCell ref="B18:C18"/>
    <mergeCell ref="B21:C21"/>
    <mergeCell ref="B28:C28"/>
  </mergeCells>
  <pageMargins left="0.75" right="0.75" top="1" bottom="1" header="0.511811023622047" footer="0.511811023622047"/>
  <pageSetup paperSize="1" fitToHeight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Asset Register</vt:lpstr>
      <vt:lpstr>Methodology &amp;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NAWAB SHEHZAD</cp:lastModifiedBy>
  <cp:revision>0</cp:revision>
  <dcterms:created xsi:type="dcterms:W3CDTF">2026-08-10T04:36:00Z</dcterms:created>
  <dcterms:modified xsi:type="dcterms:W3CDTF">2026-08-11T04:35:04Z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B28317FF7B874282942B3786D3F53511_13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