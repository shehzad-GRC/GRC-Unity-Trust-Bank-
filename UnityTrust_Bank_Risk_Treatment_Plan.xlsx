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000" windowHeight="9750" tabRatio="500"/>
  </bookViews>
  <sheets>
    <sheet name="Risk Treatment Plan" sheetId="1" r:id="rId1"/>
    <sheet name="Methodology &amp; Legend" sheetId="2" r:id="rId2"/>
  </sheets>
  <definedNames>
    <definedName name="_xlnm._FilterDatabase" localSheetId="0" hidden="1">'Risk Treatment Plan'!$A$4:$O$30</definedName>
    <definedName name="_xlnm.Print_Titles" localSheetId="0">'Risk Treatment Plan'!$4:$4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<sst xmlns="http://schemas.openxmlformats.org/spreadsheetml/2006/main" count="344" uniqueCount="231">
  <si>
    <t>UnityTrust Bank — Risk Treatment Plan (Mitigate)</t>
  </si>
  <si>
    <t>ISO/IEC 27001:2022 ISMS Implementation | Shehzad Ahmad | Information Security &amp; Risk Management</t>
  </si>
  <si>
    <t>Risk ID</t>
  </si>
  <si>
    <t>Asset ID</t>
  </si>
  <si>
    <t>Asset Name</t>
  </si>
  <si>
    <t>Risk Description</t>
  </si>
  <si>
    <t>L</t>
  </si>
  <si>
    <t>I</t>
  </si>
  <si>
    <t>Risk Score</t>
  </si>
  <si>
    <t>Risk Level</t>
  </si>
  <si>
    <t>Treatment</t>
  </si>
  <si>
    <t>ISO 27001 Ref</t>
  </si>
  <si>
    <t>Mitigating Control(s)</t>
  </si>
  <si>
    <t>Control Owner</t>
  </si>
  <si>
    <t>Target Completion</t>
  </si>
  <si>
    <t>Residual Risk</t>
  </si>
  <si>
    <t>Status</t>
  </si>
  <si>
    <t>RSK-01</t>
  </si>
  <si>
    <t>AST-01</t>
  </si>
  <si>
    <t>Core Banking Platform</t>
  </si>
  <si>
    <t>Unauthorized access or malware compromise of the core banking platform disrupting transaction processing and customer trust.</t>
  </si>
  <si>
    <t>Mitigate</t>
  </si>
  <si>
    <t>8.7 / 8.8</t>
  </si>
  <si>
    <t>Deploy a centralized malware management dashboard and implement a formal patch management SLA with defined remediation timelines.</t>
  </si>
  <si>
    <t>Head of IT Operations</t>
  </si>
  <si>
    <t>1 Month</t>
  </si>
  <si>
    <t>Medium</t>
  </si>
  <si>
    <t>In Progress</t>
  </si>
  <si>
    <t>RSK-02</t>
  </si>
  <si>
    <t>AST-02</t>
  </si>
  <si>
    <t>Mobile Banking App</t>
  </si>
  <si>
    <t>Credential theft via phishing or man-in-the-middle attacks compromising customer mobile banking sessions.</t>
  </si>
  <si>
    <t>8.5</t>
  </si>
  <si>
    <t>Enforce certificate pinning and mandatory multi-factor authentication for all mobile banking sessions.</t>
  </si>
  <si>
    <t>Digital Channels Manager</t>
  </si>
  <si>
    <t>2 Months</t>
  </si>
  <si>
    <t>Planned</t>
  </si>
  <si>
    <t>RSK-03</t>
  </si>
  <si>
    <t>AST-03</t>
  </si>
  <si>
    <t>Internet Banking Portal</t>
  </si>
  <si>
    <t>Web application attacks (SQL injection/XSS) or credential stuffing compromising internet banking accounts.</t>
  </si>
  <si>
    <t>8.28 / 8.29</t>
  </si>
  <si>
    <t>Adopt secure coding guidelines and introduce dedicated security testing (SAST/DAST) before every release.</t>
  </si>
  <si>
    <t>3 Months</t>
  </si>
  <si>
    <t>RSK-04</t>
  </si>
  <si>
    <t>AST-04</t>
  </si>
  <si>
    <t>USSD Banking Service</t>
  </si>
  <si>
    <t>SIM swap fraud and USSD session interception leading to unauthorized transactions.</t>
  </si>
  <si>
    <t>8.24</t>
  </si>
  <si>
    <t>Implement session-level encryption and step-up verification for high-value USSD transactions.</t>
  </si>
  <si>
    <t>Low</t>
  </si>
  <si>
    <t>RSK-05</t>
  </si>
  <si>
    <t>AST-05</t>
  </si>
  <si>
    <t>Contact Center / CRM System</t>
  </si>
  <si>
    <t>Social engineering of contact center agents leading to unauthorized disclosure of customer data.</t>
  </si>
  <si>
    <t>6.3</t>
  </si>
  <si>
    <t>Deliver mandatory annual security awareness training with social engineering simulations for contact center staff.</t>
  </si>
  <si>
    <t>Customer Service Manager</t>
  </si>
  <si>
    <t>RSK-06</t>
  </si>
  <si>
    <t>AST-06</t>
  </si>
  <si>
    <t>ATM Switch</t>
  </si>
  <si>
    <t>Card skimming and ATM jackpotting malware resulting in financial fraud and service disruption.</t>
  </si>
  <si>
    <t>8.8 / 8.9</t>
  </si>
  <si>
    <t>Upgrade ATM switch software to the latest secure version and implement continuous vulnerability scanning.</t>
  </si>
  <si>
    <t>Payments Operations Manager</t>
  </si>
  <si>
    <t>RSK-07</t>
  </si>
  <si>
    <t>AST-07</t>
  </si>
  <si>
    <t>POS / Merchant Acquiring</t>
  </si>
  <si>
    <t>POS malware and merchant-side fraud compromising card transaction data.</t>
  </si>
  <si>
    <t>8.7</t>
  </si>
  <si>
    <t>Mandate PCI-DSS compliant POS terminals and deploy malware detection at merchant endpoints.</t>
  </si>
  <si>
    <t>RSK-08</t>
  </si>
  <si>
    <t>AST-08</t>
  </si>
  <si>
    <t>RTGS / ACH Payment Gateway</t>
  </si>
  <si>
    <t>Payment fraud, manipulation, or denial-of-service attack against the interbank settlement gateway.</t>
  </si>
  <si>
    <t>8.16</t>
  </si>
  <si>
    <t>Implement real-time transaction anomaly detection and establish 24/7 SOC monitoring for the payment gateway.</t>
  </si>
  <si>
    <t>RSK-09</t>
  </si>
  <si>
    <t>AST-09</t>
  </si>
  <si>
    <t>SIEM Platform</t>
  </si>
  <si>
    <t>Missed security incidents due to incomplete system onboarding to the SIEM platform.</t>
  </si>
  <si>
    <t>8.15</t>
  </si>
  <si>
    <t>Onboard all remaining critical systems to the SIEM and establish a minimum logging standard.</t>
  </si>
  <si>
    <t>SOC Manager</t>
  </si>
  <si>
    <t>RSK-10</t>
  </si>
  <si>
    <t>AST-10</t>
  </si>
  <si>
    <t>Transaction Monitoring (AML/Fraud)</t>
  </si>
  <si>
    <t>Evasion of AML and fraud detection due to outdated detection rule sets, enabling financial crime.</t>
  </si>
  <si>
    <t>5.7 / 8.16</t>
  </si>
  <si>
    <t>Establish a quarterly rules-tuning process supported by a dedicated threat intelligence feed.</t>
  </si>
  <si>
    <t>Compliance / Fraud Manager</t>
  </si>
  <si>
    <t>RSK-11</t>
  </si>
  <si>
    <t>AST-11</t>
  </si>
  <si>
    <t>DLP System</t>
  </si>
  <si>
    <t>Sensitive data exfiltration bypassing under-tuned data loss prevention policies.</t>
  </si>
  <si>
    <t>8.12</t>
  </si>
  <si>
    <t>Retune DLP policies to cover all sensitive data types identified under the classification scheme.</t>
  </si>
  <si>
    <t>Information Security Manager</t>
  </si>
  <si>
    <t>RSK-12</t>
  </si>
  <si>
    <t>AST-12</t>
  </si>
  <si>
    <t>KYC Repository</t>
  </si>
  <si>
    <t>Unauthorized access to customer PII due to absence of formal data classification, risking a data breach.</t>
  </si>
  <si>
    <t>5.12 / 5.34</t>
  </si>
  <si>
    <t>Implement a formal data classification and labelling scheme and enforce a documented privacy policy.</t>
  </si>
  <si>
    <t>Compliance Manager</t>
  </si>
  <si>
    <t>RSK-13</t>
  </si>
  <si>
    <t>AST-13</t>
  </si>
  <si>
    <t>Data Warehouse</t>
  </si>
  <si>
    <t>Unauthorized data access resulting from broad, infrequently reviewed access rights.</t>
  </si>
  <si>
    <t>5.18</t>
  </si>
  <si>
    <t>Introduce a quarterly access recertification process for all data warehouse users.</t>
  </si>
  <si>
    <t>BI / Analytics Manager</t>
  </si>
  <si>
    <t>RSK-14</t>
  </si>
  <si>
    <t>AST-14</t>
  </si>
  <si>
    <t>BI / Analytics Platform</t>
  </si>
  <si>
    <t>Data leakage through cloud-hosted analytics workloads lacking a formal cloud security policy.</t>
  </si>
  <si>
    <t>5.23</t>
  </si>
  <si>
    <t>Adopt a formal cloud security policy covering all BI and analytics cloud workloads.</t>
  </si>
  <si>
    <t>RSK-15</t>
  </si>
  <si>
    <t>AST-15</t>
  </si>
  <si>
    <t>Credit Decision Engine (ML Models)</t>
  </si>
  <si>
    <t>Model manipulation or data poisoning of the ML credit scoring engine undermining lending decisions.</t>
  </si>
  <si>
    <t>8.25 / 8.29</t>
  </si>
  <si>
    <t>Establish a formal model governance and validation process, including adversarial testing before deployment.</t>
  </si>
  <si>
    <t>Credit Risk Manager</t>
  </si>
  <si>
    <t>4 Months</t>
  </si>
  <si>
    <t>RSK-16</t>
  </si>
  <si>
    <t>AST-16</t>
  </si>
  <si>
    <t>Open Banking API Gateway</t>
  </si>
  <si>
    <t>API abuse or unauthorized third-party access due to weak partner-side security requirements.</t>
  </si>
  <si>
    <t>5.20</t>
  </si>
  <si>
    <t>Embed mandatory security SLAs and enforce API rate-limiting and authentication controls in all partner agreements.</t>
  </si>
  <si>
    <t>IT Architecture Manager</t>
  </si>
  <si>
    <t>RSK-17</t>
  </si>
  <si>
    <t>AST-17</t>
  </si>
  <si>
    <t>DR Site &amp; Backup Infrastructure</t>
  </si>
  <si>
    <t>Failed failover during a disaster event due to untested DR and backup procedures.</t>
  </si>
  <si>
    <t>5.30 / 8.14</t>
  </si>
  <si>
    <t>Establish and execute a scheduled DR failover testing programme at least twice a year.</t>
  </si>
  <si>
    <t>IT Infrastructure Manager</t>
  </si>
  <si>
    <t>RSK-18</t>
  </si>
  <si>
    <t>AST-18</t>
  </si>
  <si>
    <t>PKI / Key Management System</t>
  </si>
  <si>
    <t>Cryptographic key compromise due to the absence of a formal, documented cryptographic policy.</t>
  </si>
  <si>
    <t>Document and implement a formal cryptographic policy covering the full key management lifecycle.</t>
  </si>
  <si>
    <t>RSK-19</t>
  </si>
  <si>
    <t>AST-19</t>
  </si>
  <si>
    <t>Identity &amp; Access Management (IAM)</t>
  </si>
  <si>
    <t>Privilege escalation via orphaned accounts not covered by centralized IAM across all SaaS tools.</t>
  </si>
  <si>
    <t>5.16 / 8.2</t>
  </si>
  <si>
    <t>Extend centralized IAM coverage to all SaaS and third-party tools with automated deprovisioning.</t>
  </si>
  <si>
    <t>RSK-20</t>
  </si>
  <si>
    <t>AST-20</t>
  </si>
  <si>
    <t>Privileged Access Management (PAM)</t>
  </si>
  <si>
    <t>Misuse of privileged administrative access due to an unformalized account review process.</t>
  </si>
  <si>
    <t>8.2</t>
  </si>
  <si>
    <t>Formalize a quarterly privileged account review and enable session recording for administrative activity.</t>
  </si>
  <si>
    <t>RSK-21</t>
  </si>
  <si>
    <t>AST-21</t>
  </si>
  <si>
    <t>Employee Endpoints (Laptops/Desktops)</t>
  </si>
  <si>
    <t>Malware infection or data loss from unpatched, lost, or stolen endpoint devices.</t>
  </si>
  <si>
    <t>8.1</t>
  </si>
  <si>
    <t>Define and enforce an endpoint hardening baseline with mandatory full-disk encryption.</t>
  </si>
  <si>
    <t>IT Support Manager</t>
  </si>
  <si>
    <t>RSK-22</t>
  </si>
  <si>
    <t>AST-22</t>
  </si>
  <si>
    <t>Network Infrastructure</t>
  </si>
  <si>
    <t>Network intrusion or distributed denial-of-service attack enabled by infrequent firewall rule review.</t>
  </si>
  <si>
    <t>8.20</t>
  </si>
  <si>
    <t>Establish a quarterly firewall rule review cycle and subscribe to a DDoS protection service.</t>
  </si>
  <si>
    <t>Network Manager</t>
  </si>
  <si>
    <t>RSK-23</t>
  </si>
  <si>
    <t>AST-23</t>
  </si>
  <si>
    <t>Data Center Facility</t>
  </si>
  <si>
    <t>Unauthorized physical access at branch locations due to inconsistent physical security standards.</t>
  </si>
  <si>
    <t>7.1 / 7.2</t>
  </si>
  <si>
    <t>Standardize physical access control and visitor logging across all branch locations.</t>
  </si>
  <si>
    <t>RSK-24</t>
  </si>
  <si>
    <t>AST-24</t>
  </si>
  <si>
    <t>IT &amp; Security Staff (Privileged Users)</t>
  </si>
  <si>
    <t>Insider threat or successful phishing due to the lack of an annual security awareness refresher.</t>
  </si>
  <si>
    <t>Launch a mandatory annual security awareness and phishing-simulation programme for all staff.</t>
  </si>
  <si>
    <t>CISO / Head of IT</t>
  </si>
  <si>
    <t>RSK-25</t>
  </si>
  <si>
    <t>AST-25</t>
  </si>
  <si>
    <t>Customer PII &amp; Financial Records</t>
  </si>
  <si>
    <t>Data breach or regulatory non-compliance exposure due to the absence of a formal privacy policy.</t>
  </si>
  <si>
    <t>5.34</t>
  </si>
  <si>
    <t>Develop and implement a formal privacy and data protection policy aligned with regulatory requirements.</t>
  </si>
  <si>
    <t>Data Protection Officer</t>
  </si>
  <si>
    <t>RSK-26</t>
  </si>
  <si>
    <t>AST-26</t>
  </si>
  <si>
    <t>Third-Party Fintech Partners / Vendors</t>
  </si>
  <si>
    <t>Third-party data breach or SLA non-compliance due to the absence of a supplier risk assessment process.</t>
  </si>
  <si>
    <t>5.19 / 5.20</t>
  </si>
  <si>
    <t>Implement a formal supplier security risk assessment process and embed security SLAs in all vendor contracts.</t>
  </si>
  <si>
    <t>Vendor Management</t>
  </si>
  <si>
    <t>Methodology &amp; Rating Legend</t>
  </si>
  <si>
    <t>UnityTrust Bank | Risk Treatment Plan</t>
  </si>
  <si>
    <t>Risk Treatment Option Selected: Mitigate</t>
  </si>
  <si>
    <t>ISO/IEC 27001:2022 recognizes four treatment options: Mitigate, Avoid, Transfer, and Accept. UnityTrust Bank has adopted Mitigate for every identified risk in this plan - reducing likelihood and/or impact through the implementation of specific Annex A controls, rather than avoiding, transferring, or accepting the risk.</t>
  </si>
  <si>
    <t>Likelihood (L) and Impact (I) Scale (1-5)</t>
  </si>
  <si>
    <t>Score</t>
  </si>
  <si>
    <t>Description</t>
  </si>
  <si>
    <t>1</t>
  </si>
  <si>
    <t>Rare / Negligible - very unlikely to occur or minimal consequence</t>
  </si>
  <si>
    <t>2</t>
  </si>
  <si>
    <t>Unlikely / Minor - low probability or limited consequence</t>
  </si>
  <si>
    <t>3</t>
  </si>
  <si>
    <t>Possible / Moderate - could occur; noticeable operational impact</t>
  </si>
  <si>
    <t>4</t>
  </si>
  <si>
    <t>Likely / Major - expected to occur; significant financial or regulatory impact</t>
  </si>
  <si>
    <t>5</t>
  </si>
  <si>
    <t>Almost Certain / Severe - highly probable; critical impact on operations or trust</t>
  </si>
  <si>
    <t>Risk Score Formula</t>
  </si>
  <si>
    <t>Risk Score = L x I</t>
  </si>
  <si>
    <t>Example: RTGS/ACH Payment Gateway rated Likelihood=4, Impact=5 -&gt; Risk Score = 20 -&gt; Risk Level = Critical.</t>
  </si>
  <si>
    <t>Risk Level Thresholds (based on Risk Score)</t>
  </si>
  <si>
    <t>Score Range</t>
  </si>
  <si>
    <t>Critical</t>
  </si>
  <si>
    <t>20 - 25</t>
  </si>
  <si>
    <t>High</t>
  </si>
  <si>
    <t>12 - 19</t>
  </si>
  <si>
    <t>6 - 11</t>
  </si>
  <si>
    <t>1 - 5</t>
  </si>
  <si>
    <t>Notes</t>
  </si>
  <si>
    <t>•</t>
  </si>
  <si>
    <t>Risks in this plan are drawn from the Asset Identification &amp; Threat Register and the Gap Analysis Report, ensuring traceability across all three deliverables.</t>
  </si>
  <si>
    <t>Residual Risk reflects the expected risk level after the mitigating control has been fully implemented and verified.</t>
  </si>
  <si>
    <t>Target Completion timelines are aligned to risk severity: Critical/High risks are prioritized for near-term remediation.</t>
  </si>
  <si>
    <t>Status reflects the state of control implementation at the time of this report: Planned or In Progress.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</si>
</sst>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32">
    <font>
      <sz val="11"/>
      <color theme="1"/>
      <name val="Calibri"/>
      <charset val="1"/>
    </font>
    <font>
      <b/>
      <sz val="16"/>
      <color rgb="FF000000"/>
      <name val="Calibri"/>
      <charset val="1"/>
    </font>
    <font>
      <i/>
      <sz val="10"/>
      <color rgb="FF595959"/>
      <name val="Calibri"/>
      <charset val="1"/>
    </font>
    <font>
      <b/>
      <sz val="13"/>
      <color rgb="FFFFFFFF"/>
      <name val="Calibri"/>
      <charset val="1"/>
    </font>
    <font>
      <b/>
      <sz val="10"/>
      <color rgb="FF000000"/>
      <name val="Calibri"/>
      <charset val="1"/>
    </font>
    <font>
      <sz val="10"/>
      <color rgb="FF000000"/>
      <name val="Calibri"/>
      <charset val="1"/>
    </font>
    <font>
      <b/>
      <sz val="20"/>
      <color rgb="FF000000"/>
      <name val="Calibri"/>
      <charset val="1"/>
    </font>
    <font>
      <i/>
      <sz val="12"/>
      <color rgb="FF595959"/>
      <name val="Calibri"/>
      <charset val="1"/>
    </font>
    <font>
      <b/>
      <sz val="9"/>
      <color rgb="FFFFFFFF"/>
      <name val="Calibri"/>
      <charset val="1"/>
    </font>
    <font>
      <sz val="9"/>
      <color rgb="FF000000"/>
      <name val="Calibri"/>
      <charset val="1"/>
    </font>
    <font>
      <b/>
      <sz val="9"/>
      <color rgb="FF00000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F1F1F"/>
        <bgColor rgb="FF333300"/>
      </patternFill>
    </fill>
    <fill>
      <patternFill patternType="solid">
        <fgColor rgb="FFD9D9D9"/>
        <bgColor rgb="FFE2EFDA"/>
      </patternFill>
    </fill>
    <fill>
      <patternFill patternType="solid">
        <fgColor rgb="FFF8CBAD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FCE4D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Border="0" applyAlignment="0" applyProtection="0"/>
    <xf numFmtId="44" fontId="11" fillId="0" borderId="0" applyBorder="0" applyAlignment="0" applyProtection="0"/>
    <xf numFmtId="9" fontId="11" fillId="0" borderId="0" applyBorder="0" applyAlignment="0" applyProtection="0"/>
    <xf numFmtId="41" fontId="11" fillId="0" borderId="0" applyBorder="0" applyAlignment="0" applyProtection="0"/>
    <xf numFmtId="42" fontId="11" fillId="0" borderId="0" applyBorder="0" applyAlignment="0" applyProtection="0"/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5" applyNumberFormat="0" applyAlignment="0" applyProtection="0">
      <alignment vertical="center"/>
    </xf>
    <xf numFmtId="0" fontId="22" fillId="10" borderId="6" applyNumberFormat="0" applyAlignment="0" applyProtection="0">
      <alignment vertical="center"/>
    </xf>
    <xf numFmtId="0" fontId="23" fillId="10" borderId="5" applyNumberFormat="0" applyAlignment="0" applyProtection="0">
      <alignment vertical="center"/>
    </xf>
    <xf numFmtId="0" fontId="24" fillId="11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 applyBorder="1"/>
    <xf numFmtId="0" fontId="2" fillId="0" borderId="0" xfId="0" applyFont="1" applyBorder="1"/>
    <xf numFmtId="0" fontId="3" fillId="2" borderId="0" xfId="0" applyFont="1" applyFill="1" applyBorder="1" applyAlignment="1">
      <alignment horizontal="left" vertical="center" inden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 indent="1"/>
    </xf>
    <xf numFmtId="0" fontId="4" fillId="3" borderId="1" xfId="0" applyFont="1" applyFill="1" applyBorder="1" applyAlignment="1">
      <alignment vertical="center" inden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1">
    <dxf>
      <fill>
        <patternFill patternType="solid">
          <bgColor rgb="FFF8CBAD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EFDA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2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E2EFDA"/>
      <rgbColor rgb="00FCE4D6"/>
      <rgbColor rgb="0099CCFF"/>
      <rgbColor rgb="00FF99CC"/>
      <rgbColor rgb="00CC99FF"/>
      <rgbColor rgb="00F8CBAD"/>
      <rgbColor rgb="003366FF"/>
      <rgbColor rgb="0033CCCC"/>
      <rgbColor rgb="0099CC00"/>
      <rgbColor rgb="00FFCC00"/>
      <rgbColor rgb="00FF9900"/>
      <rgbColor rgb="00FF6600"/>
      <rgbColor rgb="0059595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O30"/>
  <sheetViews>
    <sheetView showGridLines="0" tabSelected="1" zoomScale="85" zoomScaleNormal="85" workbookViewId="0">
      <pane ySplit="4" topLeftCell="A5" activePane="bottomLeft" state="frozen"/>
      <selection/>
      <selection pane="bottomLeft" activeCell="A2" sqref="A2:O2"/>
    </sheetView>
  </sheetViews>
  <sheetFormatPr defaultColWidth="8.67619047619048" defaultRowHeight="15"/>
  <cols>
    <col min="1" max="2" width="9" customWidth="1"/>
    <col min="3" max="3" width="22" customWidth="1"/>
    <col min="4" max="4" width="42" customWidth="1"/>
    <col min="5" max="6" width="4" customWidth="1"/>
    <col min="7" max="7" width="9" customWidth="1"/>
    <col min="8" max="8" width="10" customWidth="1"/>
    <col min="9" max="10" width="11" customWidth="1"/>
    <col min="11" max="11" width="46" customWidth="1"/>
    <col min="12" max="12" width="20" customWidth="1"/>
    <col min="13" max="13" width="13" customWidth="1"/>
    <col min="14" max="15" width="11" customWidth="1"/>
  </cols>
  <sheetData>
    <row r="1" ht="21.75" customHeight="1" spans="1:1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ht="15.75" spans="1:15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</row>
    <row r="4" ht="30" customHeight="1" spans="1:15">
      <c r="A4" s="13" t="s">
        <v>2</v>
      </c>
      <c r="B4" s="13" t="s">
        <v>3</v>
      </c>
      <c r="C4" s="13" t="s">
        <v>4</v>
      </c>
      <c r="D4" s="13" t="s">
        <v>5</v>
      </c>
      <c r="E4" s="13" t="s">
        <v>6</v>
      </c>
      <c r="F4" s="13" t="s">
        <v>7</v>
      </c>
      <c r="G4" s="13" t="s">
        <v>8</v>
      </c>
      <c r="H4" s="13" t="s">
        <v>9</v>
      </c>
      <c r="I4" s="13" t="s">
        <v>10</v>
      </c>
      <c r="J4" s="13" t="s">
        <v>11</v>
      </c>
      <c r="K4" s="13" t="s">
        <v>12</v>
      </c>
      <c r="L4" s="13" t="s">
        <v>13</v>
      </c>
      <c r="M4" s="13" t="s">
        <v>14</v>
      </c>
      <c r="N4" s="13" t="s">
        <v>15</v>
      </c>
      <c r="O4" s="13" t="s">
        <v>16</v>
      </c>
    </row>
    <row r="5" ht="45.75" customHeight="1" spans="1:15">
      <c r="A5" s="14" t="s">
        <v>17</v>
      </c>
      <c r="B5" s="14" t="s">
        <v>18</v>
      </c>
      <c r="C5" s="14" t="s">
        <v>19</v>
      </c>
      <c r="D5" s="14" t="s">
        <v>20</v>
      </c>
      <c r="E5" s="14">
        <v>4</v>
      </c>
      <c r="F5" s="14">
        <v>5</v>
      </c>
      <c r="G5" s="15">
        <f t="shared" ref="G5:G30" si="0">E5*F5</f>
        <v>20</v>
      </c>
      <c r="H5" s="15" t="str">
        <f t="shared" ref="H5:H30" si="1">IF(G5&gt;=20,"Critical",IF(G5&gt;=12,"High",IF(G5&gt;=6,"Medium","Low")))</f>
        <v>Critical</v>
      </c>
      <c r="I5" s="14" t="s">
        <v>21</v>
      </c>
      <c r="J5" s="14" t="s">
        <v>22</v>
      </c>
      <c r="K5" s="14" t="s">
        <v>23</v>
      </c>
      <c r="L5" s="14" t="s">
        <v>24</v>
      </c>
      <c r="M5" s="14" t="s">
        <v>25</v>
      </c>
      <c r="N5" s="16" t="s">
        <v>26</v>
      </c>
      <c r="O5" s="14" t="s">
        <v>27</v>
      </c>
    </row>
    <row r="6" ht="45.75" customHeight="1" spans="1:15">
      <c r="A6" s="14" t="s">
        <v>28</v>
      </c>
      <c r="B6" s="14" t="s">
        <v>29</v>
      </c>
      <c r="C6" s="14" t="s">
        <v>30</v>
      </c>
      <c r="D6" s="14" t="s">
        <v>31</v>
      </c>
      <c r="E6" s="14">
        <v>4</v>
      </c>
      <c r="F6" s="14">
        <v>4</v>
      </c>
      <c r="G6" s="15">
        <f t="shared" si="0"/>
        <v>16</v>
      </c>
      <c r="H6" s="15" t="str">
        <f t="shared" si="1"/>
        <v>High</v>
      </c>
      <c r="I6" s="14" t="s">
        <v>21</v>
      </c>
      <c r="J6" s="14" t="s">
        <v>32</v>
      </c>
      <c r="K6" s="14" t="s">
        <v>33</v>
      </c>
      <c r="L6" s="14" t="s">
        <v>34</v>
      </c>
      <c r="M6" s="14" t="s">
        <v>35</v>
      </c>
      <c r="N6" s="16" t="s">
        <v>26</v>
      </c>
      <c r="O6" s="14" t="s">
        <v>36</v>
      </c>
    </row>
    <row r="7" ht="45.75" customHeight="1" spans="1:15">
      <c r="A7" s="14" t="s">
        <v>37</v>
      </c>
      <c r="B7" s="14" t="s">
        <v>38</v>
      </c>
      <c r="C7" s="14" t="s">
        <v>39</v>
      </c>
      <c r="D7" s="14" t="s">
        <v>40</v>
      </c>
      <c r="E7" s="14">
        <v>4</v>
      </c>
      <c r="F7" s="14">
        <v>4</v>
      </c>
      <c r="G7" s="15">
        <f t="shared" si="0"/>
        <v>16</v>
      </c>
      <c r="H7" s="15" t="str">
        <f t="shared" si="1"/>
        <v>High</v>
      </c>
      <c r="I7" s="14" t="s">
        <v>21</v>
      </c>
      <c r="J7" s="14" t="s">
        <v>41</v>
      </c>
      <c r="K7" s="14" t="s">
        <v>42</v>
      </c>
      <c r="L7" s="14" t="s">
        <v>34</v>
      </c>
      <c r="M7" s="14" t="s">
        <v>43</v>
      </c>
      <c r="N7" s="16" t="s">
        <v>26</v>
      </c>
      <c r="O7" s="14" t="s">
        <v>36</v>
      </c>
    </row>
    <row r="8" ht="45.75" customHeight="1" spans="1:15">
      <c r="A8" s="14" t="s">
        <v>44</v>
      </c>
      <c r="B8" s="14" t="s">
        <v>45</v>
      </c>
      <c r="C8" s="14" t="s">
        <v>46</v>
      </c>
      <c r="D8" s="14" t="s">
        <v>47</v>
      </c>
      <c r="E8" s="14">
        <v>3</v>
      </c>
      <c r="F8" s="14">
        <v>3</v>
      </c>
      <c r="G8" s="15">
        <f t="shared" si="0"/>
        <v>9</v>
      </c>
      <c r="H8" s="15" t="str">
        <f t="shared" si="1"/>
        <v>Medium</v>
      </c>
      <c r="I8" s="14" t="s">
        <v>21</v>
      </c>
      <c r="J8" s="14" t="s">
        <v>48</v>
      </c>
      <c r="K8" s="14" t="s">
        <v>49</v>
      </c>
      <c r="L8" s="14" t="s">
        <v>34</v>
      </c>
      <c r="M8" s="14" t="s">
        <v>43</v>
      </c>
      <c r="N8" s="16" t="s">
        <v>50</v>
      </c>
      <c r="O8" s="14" t="s">
        <v>36</v>
      </c>
    </row>
    <row r="9" ht="45.75" customHeight="1" spans="1:15">
      <c r="A9" s="14" t="s">
        <v>51</v>
      </c>
      <c r="B9" s="14" t="s">
        <v>52</v>
      </c>
      <c r="C9" s="14" t="s">
        <v>53</v>
      </c>
      <c r="D9" s="14" t="s">
        <v>54</v>
      </c>
      <c r="E9" s="14">
        <v>2</v>
      </c>
      <c r="F9" s="14">
        <v>3</v>
      </c>
      <c r="G9" s="15">
        <f t="shared" si="0"/>
        <v>6</v>
      </c>
      <c r="H9" s="15" t="str">
        <f t="shared" si="1"/>
        <v>Medium</v>
      </c>
      <c r="I9" s="14" t="s">
        <v>21</v>
      </c>
      <c r="J9" s="14" t="s">
        <v>55</v>
      </c>
      <c r="K9" s="14" t="s">
        <v>56</v>
      </c>
      <c r="L9" s="14" t="s">
        <v>57</v>
      </c>
      <c r="M9" s="14" t="s">
        <v>35</v>
      </c>
      <c r="N9" s="16" t="s">
        <v>50</v>
      </c>
      <c r="O9" s="14" t="s">
        <v>36</v>
      </c>
    </row>
    <row r="10" ht="45.75" customHeight="1" spans="1:15">
      <c r="A10" s="14" t="s">
        <v>58</v>
      </c>
      <c r="B10" s="14" t="s">
        <v>59</v>
      </c>
      <c r="C10" s="14" t="s">
        <v>60</v>
      </c>
      <c r="D10" s="14" t="s">
        <v>61</v>
      </c>
      <c r="E10" s="14">
        <v>4</v>
      </c>
      <c r="F10" s="14">
        <v>5</v>
      </c>
      <c r="G10" s="15">
        <f t="shared" si="0"/>
        <v>20</v>
      </c>
      <c r="H10" s="15" t="str">
        <f t="shared" si="1"/>
        <v>Critical</v>
      </c>
      <c r="I10" s="14" t="s">
        <v>21</v>
      </c>
      <c r="J10" s="14" t="s">
        <v>62</v>
      </c>
      <c r="K10" s="14" t="s">
        <v>63</v>
      </c>
      <c r="L10" s="14" t="s">
        <v>64</v>
      </c>
      <c r="M10" s="14" t="s">
        <v>25</v>
      </c>
      <c r="N10" s="16" t="s">
        <v>26</v>
      </c>
      <c r="O10" s="14" t="s">
        <v>27</v>
      </c>
    </row>
    <row r="11" ht="45.75" customHeight="1" spans="1:15">
      <c r="A11" s="14" t="s">
        <v>65</v>
      </c>
      <c r="B11" s="14" t="s">
        <v>66</v>
      </c>
      <c r="C11" s="14" t="s">
        <v>67</v>
      </c>
      <c r="D11" s="14" t="s">
        <v>68</v>
      </c>
      <c r="E11" s="14">
        <v>3</v>
      </c>
      <c r="F11" s="14">
        <v>4</v>
      </c>
      <c r="G11" s="15">
        <f t="shared" si="0"/>
        <v>12</v>
      </c>
      <c r="H11" s="15" t="str">
        <f t="shared" si="1"/>
        <v>High</v>
      </c>
      <c r="I11" s="14" t="s">
        <v>21</v>
      </c>
      <c r="J11" s="14" t="s">
        <v>69</v>
      </c>
      <c r="K11" s="14" t="s">
        <v>70</v>
      </c>
      <c r="L11" s="14" t="s">
        <v>64</v>
      </c>
      <c r="M11" s="14" t="s">
        <v>43</v>
      </c>
      <c r="N11" s="16" t="s">
        <v>26</v>
      </c>
      <c r="O11" s="14" t="s">
        <v>36</v>
      </c>
    </row>
    <row r="12" ht="45.75" customHeight="1" spans="1:15">
      <c r="A12" s="14" t="s">
        <v>71</v>
      </c>
      <c r="B12" s="14" t="s">
        <v>72</v>
      </c>
      <c r="C12" s="14" t="s">
        <v>73</v>
      </c>
      <c r="D12" s="14" t="s">
        <v>74</v>
      </c>
      <c r="E12" s="14">
        <v>4</v>
      </c>
      <c r="F12" s="14">
        <v>5</v>
      </c>
      <c r="G12" s="15">
        <f t="shared" si="0"/>
        <v>20</v>
      </c>
      <c r="H12" s="15" t="str">
        <f t="shared" si="1"/>
        <v>Critical</v>
      </c>
      <c r="I12" s="14" t="s">
        <v>21</v>
      </c>
      <c r="J12" s="14" t="s">
        <v>75</v>
      </c>
      <c r="K12" s="14" t="s">
        <v>76</v>
      </c>
      <c r="L12" s="14" t="s">
        <v>64</v>
      </c>
      <c r="M12" s="14" t="s">
        <v>25</v>
      </c>
      <c r="N12" s="16" t="s">
        <v>26</v>
      </c>
      <c r="O12" s="14" t="s">
        <v>27</v>
      </c>
    </row>
    <row r="13" ht="45.75" customHeight="1" spans="1:15">
      <c r="A13" s="14" t="s">
        <v>77</v>
      </c>
      <c r="B13" s="14" t="s">
        <v>78</v>
      </c>
      <c r="C13" s="14" t="s">
        <v>79</v>
      </c>
      <c r="D13" s="14" t="s">
        <v>80</v>
      </c>
      <c r="E13" s="14">
        <v>3</v>
      </c>
      <c r="F13" s="14">
        <v>3</v>
      </c>
      <c r="G13" s="15">
        <f t="shared" si="0"/>
        <v>9</v>
      </c>
      <c r="H13" s="15" t="str">
        <f t="shared" si="1"/>
        <v>Medium</v>
      </c>
      <c r="I13" s="14" t="s">
        <v>21</v>
      </c>
      <c r="J13" s="14" t="s">
        <v>81</v>
      </c>
      <c r="K13" s="14" t="s">
        <v>82</v>
      </c>
      <c r="L13" s="14" t="s">
        <v>83</v>
      </c>
      <c r="M13" s="14" t="s">
        <v>35</v>
      </c>
      <c r="N13" s="16" t="s">
        <v>50</v>
      </c>
      <c r="O13" s="14" t="s">
        <v>36</v>
      </c>
    </row>
    <row r="14" ht="45.75" customHeight="1" spans="1:15">
      <c r="A14" s="14" t="s">
        <v>84</v>
      </c>
      <c r="B14" s="14" t="s">
        <v>85</v>
      </c>
      <c r="C14" s="14" t="s">
        <v>86</v>
      </c>
      <c r="D14" s="14" t="s">
        <v>87</v>
      </c>
      <c r="E14" s="14">
        <v>3</v>
      </c>
      <c r="F14" s="14">
        <v>5</v>
      </c>
      <c r="G14" s="15">
        <f t="shared" si="0"/>
        <v>15</v>
      </c>
      <c r="H14" s="15" t="str">
        <f t="shared" si="1"/>
        <v>High</v>
      </c>
      <c r="I14" s="14" t="s">
        <v>21</v>
      </c>
      <c r="J14" s="14" t="s">
        <v>88</v>
      </c>
      <c r="K14" s="14" t="s">
        <v>89</v>
      </c>
      <c r="L14" s="14" t="s">
        <v>90</v>
      </c>
      <c r="M14" s="14" t="s">
        <v>35</v>
      </c>
      <c r="N14" s="16" t="s">
        <v>26</v>
      </c>
      <c r="O14" s="14" t="s">
        <v>36</v>
      </c>
    </row>
    <row r="15" ht="45.75" customHeight="1" spans="1:15">
      <c r="A15" s="14" t="s">
        <v>91</v>
      </c>
      <c r="B15" s="14" t="s">
        <v>92</v>
      </c>
      <c r="C15" s="14" t="s">
        <v>93</v>
      </c>
      <c r="D15" s="14" t="s">
        <v>94</v>
      </c>
      <c r="E15" s="14">
        <v>3</v>
      </c>
      <c r="F15" s="14">
        <v>4</v>
      </c>
      <c r="G15" s="15">
        <f t="shared" si="0"/>
        <v>12</v>
      </c>
      <c r="H15" s="15" t="str">
        <f t="shared" si="1"/>
        <v>High</v>
      </c>
      <c r="I15" s="14" t="s">
        <v>21</v>
      </c>
      <c r="J15" s="14" t="s">
        <v>95</v>
      </c>
      <c r="K15" s="14" t="s">
        <v>96</v>
      </c>
      <c r="L15" s="14" t="s">
        <v>97</v>
      </c>
      <c r="M15" s="14" t="s">
        <v>35</v>
      </c>
      <c r="N15" s="16" t="s">
        <v>26</v>
      </c>
      <c r="O15" s="14" t="s">
        <v>36</v>
      </c>
    </row>
    <row r="16" ht="45.75" customHeight="1" spans="1:15">
      <c r="A16" s="14" t="s">
        <v>98</v>
      </c>
      <c r="B16" s="14" t="s">
        <v>99</v>
      </c>
      <c r="C16" s="14" t="s">
        <v>100</v>
      </c>
      <c r="D16" s="14" t="s">
        <v>101</v>
      </c>
      <c r="E16" s="14">
        <v>4</v>
      </c>
      <c r="F16" s="14">
        <v>5</v>
      </c>
      <c r="G16" s="15">
        <f t="shared" si="0"/>
        <v>20</v>
      </c>
      <c r="H16" s="15" t="str">
        <f t="shared" si="1"/>
        <v>Critical</v>
      </c>
      <c r="I16" s="14" t="s">
        <v>21</v>
      </c>
      <c r="J16" s="14" t="s">
        <v>102</v>
      </c>
      <c r="K16" s="14" t="s">
        <v>103</v>
      </c>
      <c r="L16" s="14" t="s">
        <v>104</v>
      </c>
      <c r="M16" s="14" t="s">
        <v>35</v>
      </c>
      <c r="N16" s="16" t="s">
        <v>26</v>
      </c>
      <c r="O16" s="14" t="s">
        <v>27</v>
      </c>
    </row>
    <row r="17" ht="45.75" customHeight="1" spans="1:15">
      <c r="A17" s="14" t="s">
        <v>105</v>
      </c>
      <c r="B17" s="14" t="s">
        <v>106</v>
      </c>
      <c r="C17" s="14" t="s">
        <v>107</v>
      </c>
      <c r="D17" s="14" t="s">
        <v>108</v>
      </c>
      <c r="E17" s="14">
        <v>3</v>
      </c>
      <c r="F17" s="14">
        <v>4</v>
      </c>
      <c r="G17" s="15">
        <f t="shared" si="0"/>
        <v>12</v>
      </c>
      <c r="H17" s="15" t="str">
        <f t="shared" si="1"/>
        <v>High</v>
      </c>
      <c r="I17" s="14" t="s">
        <v>21</v>
      </c>
      <c r="J17" s="14" t="s">
        <v>109</v>
      </c>
      <c r="K17" s="14" t="s">
        <v>110</v>
      </c>
      <c r="L17" s="14" t="s">
        <v>111</v>
      </c>
      <c r="M17" s="14" t="s">
        <v>35</v>
      </c>
      <c r="N17" s="16" t="s">
        <v>26</v>
      </c>
      <c r="O17" s="14" t="s">
        <v>36</v>
      </c>
    </row>
    <row r="18" ht="45.75" customHeight="1" spans="1:15">
      <c r="A18" s="14" t="s">
        <v>112</v>
      </c>
      <c r="B18" s="14" t="s">
        <v>113</v>
      </c>
      <c r="C18" s="14" t="s">
        <v>114</v>
      </c>
      <c r="D18" s="14" t="s">
        <v>115</v>
      </c>
      <c r="E18" s="14">
        <v>2</v>
      </c>
      <c r="F18" s="14">
        <v>2</v>
      </c>
      <c r="G18" s="15">
        <f t="shared" si="0"/>
        <v>4</v>
      </c>
      <c r="H18" s="15" t="str">
        <f t="shared" si="1"/>
        <v>Low</v>
      </c>
      <c r="I18" s="14" t="s">
        <v>21</v>
      </c>
      <c r="J18" s="14" t="s">
        <v>116</v>
      </c>
      <c r="K18" s="14" t="s">
        <v>117</v>
      </c>
      <c r="L18" s="14" t="s">
        <v>111</v>
      </c>
      <c r="M18" s="14" t="s">
        <v>43</v>
      </c>
      <c r="N18" s="16" t="s">
        <v>50</v>
      </c>
      <c r="O18" s="14" t="s">
        <v>36</v>
      </c>
    </row>
    <row r="19" ht="45.75" customHeight="1" spans="1:15">
      <c r="A19" s="14" t="s">
        <v>118</v>
      </c>
      <c r="B19" s="14" t="s">
        <v>119</v>
      </c>
      <c r="C19" s="14" t="s">
        <v>120</v>
      </c>
      <c r="D19" s="14" t="s">
        <v>121</v>
      </c>
      <c r="E19" s="14">
        <v>2</v>
      </c>
      <c r="F19" s="14">
        <v>4</v>
      </c>
      <c r="G19" s="15">
        <f t="shared" si="0"/>
        <v>8</v>
      </c>
      <c r="H19" s="15" t="str">
        <f t="shared" si="1"/>
        <v>Medium</v>
      </c>
      <c r="I19" s="14" t="s">
        <v>21</v>
      </c>
      <c r="J19" s="14" t="s">
        <v>122</v>
      </c>
      <c r="K19" s="14" t="s">
        <v>123</v>
      </c>
      <c r="L19" s="14" t="s">
        <v>124</v>
      </c>
      <c r="M19" s="14" t="s">
        <v>125</v>
      </c>
      <c r="N19" s="16" t="s">
        <v>50</v>
      </c>
      <c r="O19" s="14" t="s">
        <v>36</v>
      </c>
    </row>
    <row r="20" ht="45.75" customHeight="1" spans="1:15">
      <c r="A20" s="14" t="s">
        <v>126</v>
      </c>
      <c r="B20" s="14" t="s">
        <v>127</v>
      </c>
      <c r="C20" s="14" t="s">
        <v>128</v>
      </c>
      <c r="D20" s="14" t="s">
        <v>129</v>
      </c>
      <c r="E20" s="14">
        <v>3</v>
      </c>
      <c r="F20" s="14">
        <v>4</v>
      </c>
      <c r="G20" s="15">
        <f t="shared" si="0"/>
        <v>12</v>
      </c>
      <c r="H20" s="15" t="str">
        <f t="shared" si="1"/>
        <v>High</v>
      </c>
      <c r="I20" s="14" t="s">
        <v>21</v>
      </c>
      <c r="J20" s="14" t="s">
        <v>130</v>
      </c>
      <c r="K20" s="14" t="s">
        <v>131</v>
      </c>
      <c r="L20" s="14" t="s">
        <v>132</v>
      </c>
      <c r="M20" s="14" t="s">
        <v>43</v>
      </c>
      <c r="N20" s="16" t="s">
        <v>26</v>
      </c>
      <c r="O20" s="14" t="s">
        <v>36</v>
      </c>
    </row>
    <row r="21" ht="45.75" customHeight="1" spans="1:15">
      <c r="A21" s="14" t="s">
        <v>133</v>
      </c>
      <c r="B21" s="14" t="s">
        <v>134</v>
      </c>
      <c r="C21" s="14" t="s">
        <v>135</v>
      </c>
      <c r="D21" s="14" t="s">
        <v>136</v>
      </c>
      <c r="E21" s="14">
        <v>2</v>
      </c>
      <c r="F21" s="14">
        <v>5</v>
      </c>
      <c r="G21" s="15">
        <f t="shared" si="0"/>
        <v>10</v>
      </c>
      <c r="H21" s="15" t="str">
        <f t="shared" si="1"/>
        <v>Medium</v>
      </c>
      <c r="I21" s="14" t="s">
        <v>21</v>
      </c>
      <c r="J21" s="14" t="s">
        <v>137</v>
      </c>
      <c r="K21" s="14" t="s">
        <v>138</v>
      </c>
      <c r="L21" s="14" t="s">
        <v>139</v>
      </c>
      <c r="M21" s="14" t="s">
        <v>43</v>
      </c>
      <c r="N21" s="16" t="s">
        <v>50</v>
      </c>
      <c r="O21" s="14" t="s">
        <v>36</v>
      </c>
    </row>
    <row r="22" ht="45.75" customHeight="1" spans="1:15">
      <c r="A22" s="14" t="s">
        <v>140</v>
      </c>
      <c r="B22" s="14" t="s">
        <v>141</v>
      </c>
      <c r="C22" s="14" t="s">
        <v>142</v>
      </c>
      <c r="D22" s="14" t="s">
        <v>143</v>
      </c>
      <c r="E22" s="14">
        <v>2</v>
      </c>
      <c r="F22" s="14">
        <v>5</v>
      </c>
      <c r="G22" s="15">
        <f t="shared" si="0"/>
        <v>10</v>
      </c>
      <c r="H22" s="15" t="str">
        <f t="shared" si="1"/>
        <v>Medium</v>
      </c>
      <c r="I22" s="14" t="s">
        <v>21</v>
      </c>
      <c r="J22" s="14" t="s">
        <v>48</v>
      </c>
      <c r="K22" s="14" t="s">
        <v>144</v>
      </c>
      <c r="L22" s="14" t="s">
        <v>97</v>
      </c>
      <c r="M22" s="14" t="s">
        <v>35</v>
      </c>
      <c r="N22" s="16" t="s">
        <v>50</v>
      </c>
      <c r="O22" s="14" t="s">
        <v>36</v>
      </c>
    </row>
    <row r="23" ht="45.75" customHeight="1" spans="1:15">
      <c r="A23" s="14" t="s">
        <v>145</v>
      </c>
      <c r="B23" s="14" t="s">
        <v>146</v>
      </c>
      <c r="C23" s="14" t="s">
        <v>147</v>
      </c>
      <c r="D23" s="14" t="s">
        <v>148</v>
      </c>
      <c r="E23" s="14">
        <v>3</v>
      </c>
      <c r="F23" s="14">
        <v>4</v>
      </c>
      <c r="G23" s="15">
        <f t="shared" si="0"/>
        <v>12</v>
      </c>
      <c r="H23" s="15" t="str">
        <f t="shared" si="1"/>
        <v>High</v>
      </c>
      <c r="I23" s="14" t="s">
        <v>21</v>
      </c>
      <c r="J23" s="14" t="s">
        <v>149</v>
      </c>
      <c r="K23" s="14" t="s">
        <v>150</v>
      </c>
      <c r="L23" s="14" t="s">
        <v>97</v>
      </c>
      <c r="M23" s="14" t="s">
        <v>43</v>
      </c>
      <c r="N23" s="16" t="s">
        <v>26</v>
      </c>
      <c r="O23" s="14" t="s">
        <v>36</v>
      </c>
    </row>
    <row r="24" ht="45.75" customHeight="1" spans="1:15">
      <c r="A24" s="14" t="s">
        <v>151</v>
      </c>
      <c r="B24" s="14" t="s">
        <v>152</v>
      </c>
      <c r="C24" s="14" t="s">
        <v>153</v>
      </c>
      <c r="D24" s="14" t="s">
        <v>154</v>
      </c>
      <c r="E24" s="14">
        <v>3</v>
      </c>
      <c r="F24" s="14">
        <v>4</v>
      </c>
      <c r="G24" s="15">
        <f t="shared" si="0"/>
        <v>12</v>
      </c>
      <c r="H24" s="15" t="str">
        <f t="shared" si="1"/>
        <v>High</v>
      </c>
      <c r="I24" s="14" t="s">
        <v>21</v>
      </c>
      <c r="J24" s="14" t="s">
        <v>155</v>
      </c>
      <c r="K24" s="14" t="s">
        <v>156</v>
      </c>
      <c r="L24" s="14" t="s">
        <v>97</v>
      </c>
      <c r="M24" s="14" t="s">
        <v>35</v>
      </c>
      <c r="N24" s="16" t="s">
        <v>26</v>
      </c>
      <c r="O24" s="14" t="s">
        <v>27</v>
      </c>
    </row>
    <row r="25" ht="45.75" customHeight="1" spans="1:15">
      <c r="A25" s="14" t="s">
        <v>157</v>
      </c>
      <c r="B25" s="14" t="s">
        <v>158</v>
      </c>
      <c r="C25" s="14" t="s">
        <v>159</v>
      </c>
      <c r="D25" s="14" t="s">
        <v>160</v>
      </c>
      <c r="E25" s="14">
        <v>3</v>
      </c>
      <c r="F25" s="14">
        <v>3</v>
      </c>
      <c r="G25" s="15">
        <f t="shared" si="0"/>
        <v>9</v>
      </c>
      <c r="H25" s="15" t="str">
        <f t="shared" si="1"/>
        <v>Medium</v>
      </c>
      <c r="I25" s="14" t="s">
        <v>21</v>
      </c>
      <c r="J25" s="14" t="s">
        <v>161</v>
      </c>
      <c r="K25" s="14" t="s">
        <v>162</v>
      </c>
      <c r="L25" s="14" t="s">
        <v>163</v>
      </c>
      <c r="M25" s="14" t="s">
        <v>35</v>
      </c>
      <c r="N25" s="16" t="s">
        <v>50</v>
      </c>
      <c r="O25" s="14" t="s">
        <v>36</v>
      </c>
    </row>
    <row r="26" ht="45.75" customHeight="1" spans="1:15">
      <c r="A26" s="14" t="s">
        <v>164</v>
      </c>
      <c r="B26" s="14" t="s">
        <v>165</v>
      </c>
      <c r="C26" s="14" t="s">
        <v>166</v>
      </c>
      <c r="D26" s="14" t="s">
        <v>167</v>
      </c>
      <c r="E26" s="14">
        <v>3</v>
      </c>
      <c r="F26" s="14">
        <v>4</v>
      </c>
      <c r="G26" s="15">
        <f t="shared" si="0"/>
        <v>12</v>
      </c>
      <c r="H26" s="15" t="str">
        <f t="shared" si="1"/>
        <v>High</v>
      </c>
      <c r="I26" s="14" t="s">
        <v>21</v>
      </c>
      <c r="J26" s="14" t="s">
        <v>168</v>
      </c>
      <c r="K26" s="14" t="s">
        <v>169</v>
      </c>
      <c r="L26" s="14" t="s">
        <v>170</v>
      </c>
      <c r="M26" s="14" t="s">
        <v>35</v>
      </c>
      <c r="N26" s="16" t="s">
        <v>26</v>
      </c>
      <c r="O26" s="14" t="s">
        <v>36</v>
      </c>
    </row>
    <row r="27" ht="45.75" customHeight="1" spans="1:15">
      <c r="A27" s="14" t="s">
        <v>171</v>
      </c>
      <c r="B27" s="14" t="s">
        <v>172</v>
      </c>
      <c r="C27" s="14" t="s">
        <v>173</v>
      </c>
      <c r="D27" s="14" t="s">
        <v>174</v>
      </c>
      <c r="E27" s="14">
        <v>1</v>
      </c>
      <c r="F27" s="14">
        <v>4</v>
      </c>
      <c r="G27" s="15">
        <f t="shared" si="0"/>
        <v>4</v>
      </c>
      <c r="H27" s="15" t="str">
        <f t="shared" si="1"/>
        <v>Low</v>
      </c>
      <c r="I27" s="14" t="s">
        <v>21</v>
      </c>
      <c r="J27" s="14" t="s">
        <v>175</v>
      </c>
      <c r="K27" s="14" t="s">
        <v>176</v>
      </c>
      <c r="L27" s="14" t="s">
        <v>139</v>
      </c>
      <c r="M27" s="14" t="s">
        <v>43</v>
      </c>
      <c r="N27" s="16" t="s">
        <v>50</v>
      </c>
      <c r="O27" s="14" t="s">
        <v>36</v>
      </c>
    </row>
    <row r="28" ht="45.75" customHeight="1" spans="1:15">
      <c r="A28" s="14" t="s">
        <v>177</v>
      </c>
      <c r="B28" s="14" t="s">
        <v>178</v>
      </c>
      <c r="C28" s="14" t="s">
        <v>179</v>
      </c>
      <c r="D28" s="14" t="s">
        <v>180</v>
      </c>
      <c r="E28" s="14">
        <v>3</v>
      </c>
      <c r="F28" s="14">
        <v>4</v>
      </c>
      <c r="G28" s="15">
        <f t="shared" si="0"/>
        <v>12</v>
      </c>
      <c r="H28" s="15" t="str">
        <f t="shared" si="1"/>
        <v>High</v>
      </c>
      <c r="I28" s="14" t="s">
        <v>21</v>
      </c>
      <c r="J28" s="14" t="s">
        <v>55</v>
      </c>
      <c r="K28" s="14" t="s">
        <v>181</v>
      </c>
      <c r="L28" s="14" t="s">
        <v>182</v>
      </c>
      <c r="M28" s="14" t="s">
        <v>35</v>
      </c>
      <c r="N28" s="16" t="s">
        <v>26</v>
      </c>
      <c r="O28" s="14" t="s">
        <v>36</v>
      </c>
    </row>
    <row r="29" ht="45.75" customHeight="1" spans="1:15">
      <c r="A29" s="14" t="s">
        <v>183</v>
      </c>
      <c r="B29" s="14" t="s">
        <v>184</v>
      </c>
      <c r="C29" s="14" t="s">
        <v>185</v>
      </c>
      <c r="D29" s="14" t="s">
        <v>186</v>
      </c>
      <c r="E29" s="14">
        <v>4</v>
      </c>
      <c r="F29" s="14">
        <v>5</v>
      </c>
      <c r="G29" s="15">
        <f t="shared" si="0"/>
        <v>20</v>
      </c>
      <c r="H29" s="15" t="str">
        <f t="shared" si="1"/>
        <v>Critical</v>
      </c>
      <c r="I29" s="14" t="s">
        <v>21</v>
      </c>
      <c r="J29" s="14" t="s">
        <v>187</v>
      </c>
      <c r="K29" s="14" t="s">
        <v>188</v>
      </c>
      <c r="L29" s="14" t="s">
        <v>189</v>
      </c>
      <c r="M29" s="14" t="s">
        <v>35</v>
      </c>
      <c r="N29" s="16" t="s">
        <v>26</v>
      </c>
      <c r="O29" s="14" t="s">
        <v>27</v>
      </c>
    </row>
    <row r="30" ht="45.75" customHeight="1" spans="1:15">
      <c r="A30" s="14" t="s">
        <v>190</v>
      </c>
      <c r="B30" s="14" t="s">
        <v>191</v>
      </c>
      <c r="C30" s="14" t="s">
        <v>192</v>
      </c>
      <c r="D30" s="14" t="s">
        <v>193</v>
      </c>
      <c r="E30" s="14">
        <v>3</v>
      </c>
      <c r="F30" s="14">
        <v>4</v>
      </c>
      <c r="G30" s="15">
        <f t="shared" si="0"/>
        <v>12</v>
      </c>
      <c r="H30" s="15" t="str">
        <f t="shared" si="1"/>
        <v>High</v>
      </c>
      <c r="I30" s="14" t="s">
        <v>21</v>
      </c>
      <c r="J30" s="14" t="s">
        <v>194</v>
      </c>
      <c r="K30" s="14" t="s">
        <v>195</v>
      </c>
      <c r="L30" s="14" t="s">
        <v>196</v>
      </c>
      <c r="M30" s="14" t="s">
        <v>43</v>
      </c>
      <c r="N30" s="16" t="s">
        <v>26</v>
      </c>
      <c r="O30" s="14" t="s">
        <v>36</v>
      </c>
    </row>
  </sheetData>
  <autoFilter xmlns:etc="http://www.wps.cn/officeDocument/2017/etCustomData" ref="A4:O30" etc:filterBottomFollowUsedRange="0">
    <extLst/>
  </autoFilter>
  <mergeCells count="2">
    <mergeCell ref="A1:O1"/>
    <mergeCell ref="A2:O2"/>
  </mergeCells>
  <conditionalFormatting sqref="H5:H30">
    <cfRule type="cellIs" dxfId="0" priority="2" operator="equal">
      <formula>"Critical"</formula>
    </cfRule>
    <cfRule type="cellIs" dxfId="1" priority="3" operator="equal">
      <formula>"High"</formula>
    </cfRule>
    <cfRule type="cellIs" dxfId="2" priority="4" operator="equal">
      <formula>"Medium"</formula>
    </cfRule>
    <cfRule type="cellIs" dxfId="3" priority="5" operator="equal">
      <formula>"Low"</formula>
    </cfRule>
  </conditionalFormatting>
  <conditionalFormatting sqref="N5:N30">
    <cfRule type="cellIs" dxfId="0" priority="6" operator="equal">
      <formula>"Critical"</formula>
    </cfRule>
    <cfRule type="cellIs" dxfId="1" priority="7" operator="equal">
      <formula>"High"</formula>
    </cfRule>
    <cfRule type="cellIs" dxfId="2" priority="8" operator="equal">
      <formula>"Medium"</formula>
    </cfRule>
    <cfRule type="cellIs" dxfId="3" priority="9" operator="equal">
      <formula>"Low"</formula>
    </cfRule>
  </conditionalFormatting>
  <pageMargins left="0.75" right="0.75" top="1" bottom="1" header="0.511811023622047" footer="0.511811023622047"/>
  <pageSetup paperSize="1" fitToHeight="0" orientation="landscape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2:C31"/>
  <sheetViews>
    <sheetView showGridLines="0" workbookViewId="0">
      <selection activeCell="F17" sqref="F17"/>
    </sheetView>
  </sheetViews>
  <sheetFormatPr defaultColWidth="8.67619047619048" defaultRowHeight="15" outlineLevelCol="2"/>
  <cols>
    <col min="1" max="1" width="3" customWidth="1"/>
    <col min="2" max="2" width="18" customWidth="1"/>
    <col min="3" max="3" width="62" customWidth="1"/>
    <col min="4" max="4" width="3" customWidth="1"/>
  </cols>
  <sheetData>
    <row r="2" ht="21" spans="2:3">
      <c r="B2" s="1" t="s">
        <v>197</v>
      </c>
      <c r="C2" s="1"/>
    </row>
    <row r="3" spans="2:3">
      <c r="B3" s="2" t="s">
        <v>198</v>
      </c>
      <c r="C3" s="2"/>
    </row>
    <row r="5" ht="24" customHeight="1" spans="2:3">
      <c r="B5" s="3" t="s">
        <v>199</v>
      </c>
      <c r="C5" s="3"/>
    </row>
    <row r="7" ht="63.75" spans="2:3">
      <c r="B7" s="4" t="s">
        <v>21</v>
      </c>
      <c r="C7" s="5" t="s">
        <v>200</v>
      </c>
    </row>
    <row r="9" ht="24" customHeight="1" spans="2:3">
      <c r="B9" s="3" t="s">
        <v>201</v>
      </c>
      <c r="C9" s="3"/>
    </row>
    <row r="10" ht="18" customHeight="1" spans="2:3">
      <c r="B10" s="6" t="s">
        <v>202</v>
      </c>
      <c r="C10" s="6" t="s">
        <v>203</v>
      </c>
    </row>
    <row r="11" ht="18" customHeight="1" spans="2:3">
      <c r="B11" s="4" t="s">
        <v>204</v>
      </c>
      <c r="C11" s="5" t="s">
        <v>205</v>
      </c>
    </row>
    <row r="12" ht="18" customHeight="1" spans="2:3">
      <c r="B12" s="4" t="s">
        <v>206</v>
      </c>
      <c r="C12" s="5" t="s">
        <v>207</v>
      </c>
    </row>
    <row r="13" ht="18" customHeight="1" spans="2:3">
      <c r="B13" s="4" t="s">
        <v>208</v>
      </c>
      <c r="C13" s="5" t="s">
        <v>209</v>
      </c>
    </row>
    <row r="14" ht="18" customHeight="1" spans="2:3">
      <c r="B14" s="4" t="s">
        <v>210</v>
      </c>
      <c r="C14" s="5" t="s">
        <v>211</v>
      </c>
    </row>
    <row r="15" ht="25.5" spans="2:3">
      <c r="B15" s="4" t="s">
        <v>212</v>
      </c>
      <c r="C15" s="5" t="s">
        <v>213</v>
      </c>
    </row>
    <row r="17" ht="24" customHeight="1" spans="2:3">
      <c r="B17" s="3" t="s">
        <v>214</v>
      </c>
      <c r="C17" s="3"/>
    </row>
    <row r="18" ht="30" customHeight="1" spans="2:3">
      <c r="B18" s="4" t="s">
        <v>215</v>
      </c>
      <c r="C18" s="5" t="s">
        <v>216</v>
      </c>
    </row>
    <row r="20" ht="24" customHeight="1" spans="2:3">
      <c r="B20" s="3" t="s">
        <v>217</v>
      </c>
      <c r="C20" s="3"/>
    </row>
    <row r="21" ht="18" customHeight="1" spans="2:3">
      <c r="B21" s="6" t="s">
        <v>9</v>
      </c>
      <c r="C21" s="6" t="s">
        <v>218</v>
      </c>
    </row>
    <row r="22" ht="18" customHeight="1" spans="2:3">
      <c r="B22" s="7" t="s">
        <v>219</v>
      </c>
      <c r="C22" s="5" t="s">
        <v>220</v>
      </c>
    </row>
    <row r="23" ht="18" customHeight="1" spans="2:3">
      <c r="B23" s="8" t="s">
        <v>221</v>
      </c>
      <c r="C23" s="5" t="s">
        <v>222</v>
      </c>
    </row>
    <row r="24" ht="18" customHeight="1" spans="2:3">
      <c r="B24" s="9" t="s">
        <v>26</v>
      </c>
      <c r="C24" s="5" t="s">
        <v>223</v>
      </c>
    </row>
    <row r="25" ht="18" customHeight="1" spans="2:3">
      <c r="B25" s="10" t="s">
        <v>50</v>
      </c>
      <c r="C25" s="5" t="s">
        <v>224</v>
      </c>
    </row>
    <row r="27" ht="24" customHeight="1" spans="2:3">
      <c r="B27" s="3" t="s">
        <v>225</v>
      </c>
      <c r="C27" s="3"/>
    </row>
    <row r="28" ht="38.25" spans="2:3">
      <c r="B28" s="4" t="s">
        <v>226</v>
      </c>
      <c r="C28" s="5" t="s">
        <v>227</v>
      </c>
    </row>
    <row r="29" ht="31.5" customHeight="1" spans="2:3">
      <c r="B29" s="4" t="s">
        <v>226</v>
      </c>
      <c r="C29" s="5" t="s">
        <v>228</v>
      </c>
    </row>
    <row r="30" ht="31.5" customHeight="1" spans="2:3">
      <c r="B30" s="4" t="s">
        <v>226</v>
      </c>
      <c r="C30" s="5" t="s">
        <v>229</v>
      </c>
    </row>
    <row r="31" ht="31.5" customHeight="1" spans="2:3">
      <c r="B31" s="4" t="s">
        <v>226</v>
      </c>
      <c r="C31" s="5" t="s">
        <v>230</v>
      </c>
    </row>
  </sheetData>
  <mergeCells count="7">
    <mergeCell ref="B2:C2"/>
    <mergeCell ref="B3:C3"/>
    <mergeCell ref="B5:C5"/>
    <mergeCell ref="B9:C9"/>
    <mergeCell ref="B17:C17"/>
    <mergeCell ref="B20:C20"/>
    <mergeCell ref="B27:C27"/>
  </mergeCells>
  <pageMargins left="0.75" right="0.75" top="1" bottom="1" header="0.511811023622047" footer="0.511811023622047"/>
  <pageSetup paperSize="1" fitToHeight="0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Risk Treatment Plan</vt:lpstr>
      <vt:lpstr>Methodology &amp; Legend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NAWAB SHEHZAD</cp:lastModifiedBy>
  <cp:revision>0</cp:revision>
  <dcterms:created xsi:type="dcterms:W3CDTF">2026-08-11T02:12:00Z</dcterms:created>
  <dcterms:modified xsi:type="dcterms:W3CDTF">2026-08-11T04:35:08Z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2C61E52166F34289BD54FD71C4B3E6C4_13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